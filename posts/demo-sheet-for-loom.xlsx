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Transacciones" sheetId="2" state="visible" r:id="rId2"/>
    <sheet xmlns:r="http://schemas.openxmlformats.org/officeDocument/2006/relationships" name="Deudas" sheetId="3" state="visible" r:id="rId3"/>
    <sheet xmlns:r="http://schemas.openxmlformats.org/officeDocument/2006/relationships" name="KP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0\%"/>
  </numFmts>
  <fonts count="25">
    <font>
      <name val="Calibri"/>
      <family val="2"/>
      <color theme="1"/>
      <sz val="11"/>
      <scheme val="minor"/>
    </font>
    <font>
      <b val="1"/>
      <color rgb="00D4B88C"/>
      <sz val="22"/>
    </font>
    <font>
      <i val="1"/>
      <color rgb="0064748B"/>
      <sz val="11"/>
    </font>
    <font>
      <b val="1"/>
      <color rgb="002563EB"/>
      <sz val="11"/>
    </font>
    <font>
      <b val="1"/>
      <color rgb="00D4B88C"/>
      <sz val="14"/>
    </font>
    <font>
      <b val="1"/>
      <color rgb="000F172A"/>
      <sz val="10"/>
    </font>
    <font>
      <b val="1"/>
      <color rgb="002563EB"/>
      <sz val="20"/>
    </font>
    <font>
      <i val="1"/>
      <color rgb="0064748B"/>
      <sz val="9"/>
    </font>
    <font>
      <b val="1"/>
      <color rgb="00059669"/>
      <sz val="20"/>
    </font>
    <font>
      <b val="1"/>
      <color rgb="00D4B88C"/>
      <sz val="12"/>
    </font>
    <font>
      <b val="1"/>
      <color rgb="001A1A1A"/>
      <sz val="10"/>
    </font>
    <font>
      <b val="1"/>
      <color rgb="00166534"/>
      <sz val="11"/>
    </font>
    <font>
      <color rgb="001A1A1A"/>
      <sz val="10"/>
    </font>
    <font>
      <b val="1"/>
      <color rgb="00D4B88C"/>
      <sz val="11"/>
    </font>
    <font>
      <b val="1"/>
      <color rgb="002563EB"/>
      <sz val="10"/>
    </font>
    <font>
      <b val="1"/>
      <color rgb="00166534"/>
      <sz val="10"/>
    </font>
    <font>
      <b val="1"/>
      <color rgb="00991B1B"/>
      <sz val="10"/>
    </font>
    <font>
      <b val="1"/>
      <color rgb="00059669"/>
      <sz val="10"/>
    </font>
    <font>
      <b val="1"/>
      <color rgb="000F172A"/>
    </font>
    <font>
      <b val="1"/>
      <color rgb="00059669"/>
      <sz val="11"/>
    </font>
    <font>
      <b val="1"/>
      <sz val="11"/>
    </font>
    <font>
      <color rgb="002563EB"/>
      <sz val="10"/>
    </font>
    <font>
      <b val="1"/>
      <color rgb="000F172A"/>
      <sz val="16"/>
    </font>
    <font>
      <color rgb="001A1A1A"/>
      <sz val="11"/>
    </font>
    <font>
      <b val="1"/>
      <color rgb="002563EB"/>
      <sz val="12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5ECD7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64" fontId="3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4" fontId="6" fillId="4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164" fontId="6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164" fontId="8" fillId="6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164" fontId="8" fillId="8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9" fillId="2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center"/>
    </xf>
    <xf numFmtId="0" fontId="10" fillId="0" borderId="0" pivotButton="0" quotePrefix="0" xfId="0"/>
    <xf numFmtId="164" fontId="11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3" fillId="2" borderId="1" applyAlignment="1" pivotButton="0" quotePrefix="0" xfId="0">
      <alignment horizontal="center" vertical="center"/>
    </xf>
    <xf numFmtId="0" fontId="12" fillId="0" borderId="1" pivotButton="0" quotePrefix="0" xfId="0"/>
    <xf numFmtId="164" fontId="14" fillId="0" borderId="1" applyAlignment="1" pivotButton="0" quotePrefix="0" xfId="0">
      <alignment horizontal="right"/>
    </xf>
    <xf numFmtId="0" fontId="15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12" fillId="0" borderId="0" pivotButton="0" quotePrefix="0" xfId="0"/>
    <xf numFmtId="164" fontId="14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center"/>
    </xf>
    <xf numFmtId="164" fontId="17" fillId="0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0" fontId="18" fillId="8" borderId="0" pivotButton="0" quotePrefix="0" xfId="0"/>
    <xf numFmtId="164" fontId="3" fillId="0" borderId="0" pivotButton="0" quotePrefix="0" xfId="0"/>
    <xf numFmtId="164" fontId="19" fillId="0" borderId="0" pivotButton="0" quotePrefix="0" xfId="0"/>
    <xf numFmtId="164" fontId="20" fillId="0" borderId="0" pivotButton="0" quotePrefix="0" xfId="0"/>
    <xf numFmtId="0" fontId="9" fillId="2" borderId="0" pivotButton="0" quotePrefix="0" xfId="0"/>
    <xf numFmtId="0" fontId="14" fillId="0" borderId="0" pivotButton="0" quotePrefix="0" xfId="0"/>
    <xf numFmtId="0" fontId="21" fillId="0" borderId="0" pivotButton="0" quotePrefix="0" xfId="0"/>
    <xf numFmtId="164" fontId="14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4" fillId="0" borderId="0" pivotButton="0" quotePrefix="0" xfId="0"/>
    <xf numFmtId="3" fontId="2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2" ht="50" customHeight="1">
      <c r="B2" s="1" t="inlineStr">
        <is>
          <t>GOLDEN OIL DEMO  ·  Repositorio Zelle</t>
        </is>
      </c>
    </row>
    <row r="3">
      <c r="B3" s="2" t="inlineStr">
        <is>
          <t>Demo creado por ZENIA  ·  zeniapartners.com  ·  Datos ficticios</t>
        </is>
      </c>
    </row>
    <row r="5">
      <c r="B5" s="3" t="inlineStr">
        <is>
          <t>SALDO INICIAL BANCO (editable):</t>
        </is>
      </c>
      <c r="E5" s="4" t="n">
        <v>35000</v>
      </c>
    </row>
    <row r="7" ht="32" customHeight="1">
      <c r="B7" s="5" t="inlineStr">
        <is>
          <t>TRAZABILIDAD DEL EFECTIVO</t>
        </is>
      </c>
    </row>
    <row r="9" ht="22" customHeight="1">
      <c r="B9" s="6" t="inlineStr">
        <is>
          <t>EFECTIVO EN BANCO</t>
        </is>
      </c>
      <c r="D9" s="7" t="inlineStr">
        <is>
          <t>DINERO EN GANDOLAS</t>
        </is>
      </c>
      <c r="F9" s="8" t="inlineStr">
        <is>
          <t>CUENTAS POR COBRAR</t>
        </is>
      </c>
      <c r="H9" s="9" t="inlineStr">
        <is>
          <t>TOTAL TRAZADO</t>
        </is>
      </c>
    </row>
    <row r="10" ht="60" customHeight="1">
      <c r="B10" s="10">
        <f>E5+SUMIFS(Transacciones!D:D,Transacciones!E:E,"in")-SUMIFS(Transacciones!D:D,Transacciones!E:E,"out")-(SUMIFS(Transacciones!D:D,Transacciones!F:F,"entrega_gandola")-SUMIFS(Transacciones!D:D,Transacciones!F:F,"retorno_gandola"))-(SUMIFS(Transacciones!D:D,Transacciones!F:F,"venta_credito")-SUMIFS(Transacciones!D:D,Transacciones!F:F,"cobro_credito"))</f>
        <v/>
      </c>
      <c r="D10" s="11">
        <f>SUMIFS(Transacciones!D:D,Transacciones!F:F,"entrega_gandola")-SUMIFS(Transacciones!D:D,Transacciones!F:F,"retorno_gandola")</f>
        <v/>
      </c>
      <c r="F10" s="12">
        <f>SUMIFS(Transacciones!D:D,Transacciones!F:F,"venta_credito")-SUMIFS(Transacciones!D:D,Transacciones!F:F,"cobro_credito")+IFERROR(Deudas!I35,0)</f>
        <v/>
      </c>
      <c r="H10" s="13">
        <f>C10+E10+G10</f>
        <v/>
      </c>
    </row>
    <row r="11" ht="18" customHeight="1">
      <c r="B11" s="14" t="inlineStr">
        <is>
          <t>Saldo liquido</t>
        </is>
      </c>
      <c r="D11" s="15" t="inlineStr">
        <is>
          <t>Capital en transito</t>
        </is>
      </c>
      <c r="F11" s="16" t="inlineStr">
        <is>
          <t>Pendiente de cobrar</t>
        </is>
      </c>
      <c r="H11" s="17" t="inlineStr">
        <is>
          <t>Suma de los 3</t>
        </is>
      </c>
    </row>
    <row r="13" ht="32" customHeight="1">
      <c r="B13" s="5" t="inlineStr">
        <is>
          <t>KPIs DEL PERIODO</t>
        </is>
      </c>
    </row>
    <row r="15" ht="22" customHeight="1">
      <c r="B15" s="9" t="inlineStr">
        <is>
          <t>INGRESOS COBRADOS</t>
        </is>
      </c>
      <c r="D15" s="18" t="inlineStr">
        <is>
          <t>GASTOS PAGADOS</t>
        </is>
      </c>
      <c r="F15" s="19" t="inlineStr">
        <is>
          <t>FLUJO NETO</t>
        </is>
      </c>
      <c r="H15" s="6" t="inlineStr">
        <is>
          <t>TICKET PROMEDIO</t>
        </is>
      </c>
    </row>
    <row r="16" ht="60" customHeight="1">
      <c r="B16" s="20">
        <f>SUMIFS(Transacciones!D:D,Transacciones!E:E,"in")</f>
        <v/>
      </c>
      <c r="D16" s="21">
        <f>SUMIFS(Transacciones!D:D,Transacciones!E:E,"out")</f>
        <v/>
      </c>
      <c r="F16" s="22">
        <f>C16-E16</f>
        <v/>
      </c>
      <c r="H16" s="23">
        <f>IFERROR(C16/COUNTIFS(Transacciones!E:E,"in"),0)</f>
        <v/>
      </c>
    </row>
    <row r="17" ht="18" customHeight="1">
      <c r="B17" s="17" t="inlineStr">
        <is>
          <t>Total in</t>
        </is>
      </c>
      <c r="D17" s="24" t="inlineStr">
        <is>
          <t>Total out</t>
        </is>
      </c>
      <c r="F17" s="25" t="inlineStr">
        <is>
          <t>Cashflow del periodo</t>
        </is>
      </c>
      <c r="H17" s="14" t="inlineStr">
        <is>
          <t>Por transferencia</t>
        </is>
      </c>
    </row>
    <row r="20">
      <c r="B20" s="26" t="inlineStr">
        <is>
          <t>TOP 5 PAGADORES</t>
        </is>
      </c>
    </row>
    <row r="21">
      <c r="B21" s="27" t="inlineStr">
        <is>
          <t>Cliente</t>
        </is>
      </c>
      <c r="D21" s="27" t="inlineStr">
        <is>
          <t>Total Cobrado</t>
        </is>
      </c>
      <c r="F21" s="27" t="inlineStr">
        <is>
          <t># Pagos</t>
        </is>
      </c>
    </row>
    <row r="22">
      <c r="B22" s="28" t="inlineStr">
        <is>
          <t>Maria Gonzalez</t>
        </is>
      </c>
      <c r="D22" s="29" t="n">
        <v>500</v>
      </c>
      <c r="F22" s="30" t="n">
        <v>1</v>
      </c>
    </row>
    <row r="23">
      <c r="B23" s="28" t="inlineStr">
        <is>
          <t>Carlos Perez</t>
        </is>
      </c>
      <c r="D23" s="29" t="n">
        <v>1200</v>
      </c>
      <c r="F23" s="30" t="n">
        <v>2</v>
      </c>
    </row>
    <row r="24">
      <c r="B24" s="28" t="inlineStr">
        <is>
          <t>Empresa XYZ</t>
        </is>
      </c>
      <c r="D24" s="29" t="n">
        <v>850</v>
      </c>
      <c r="F24" s="30" t="n">
        <v>1</v>
      </c>
    </row>
    <row r="25">
      <c r="B25" s="28" t="inlineStr">
        <is>
          <t>Lucia Ramirez</t>
        </is>
      </c>
      <c r="D25" s="29" t="n">
        <v>650</v>
      </c>
      <c r="F25" s="30" t="n">
        <v>1</v>
      </c>
    </row>
    <row r="26">
      <c r="B26" s="28" t="inlineStr">
        <is>
          <t>Pedro Lopez</t>
        </is>
      </c>
      <c r="D26" s="29" t="n">
        <v>400</v>
      </c>
      <c r="F26" s="30" t="n">
        <v>1</v>
      </c>
    </row>
  </sheetData>
  <mergeCells count="30">
    <mergeCell ref="F11:G11"/>
    <mergeCell ref="B16:C16"/>
    <mergeCell ref="D10:E10"/>
    <mergeCell ref="B7:I7"/>
    <mergeCell ref="F10:G10"/>
    <mergeCell ref="F16:G16"/>
    <mergeCell ref="H10:I10"/>
    <mergeCell ref="B3:I3"/>
    <mergeCell ref="H9:I9"/>
    <mergeCell ref="B11:C11"/>
    <mergeCell ref="F15:G15"/>
    <mergeCell ref="D11:E11"/>
    <mergeCell ref="B2:I2"/>
    <mergeCell ref="B17:C17"/>
    <mergeCell ref="D17:E17"/>
    <mergeCell ref="F17:G17"/>
    <mergeCell ref="H17:I17"/>
    <mergeCell ref="B13:I13"/>
    <mergeCell ref="H11:I11"/>
    <mergeCell ref="D16:E16"/>
    <mergeCell ref="B5:D5"/>
    <mergeCell ref="H16:I16"/>
    <mergeCell ref="B10:C10"/>
    <mergeCell ref="B9:C9"/>
    <mergeCell ref="D9:E9"/>
    <mergeCell ref="F9:G9"/>
    <mergeCell ref="B15:C15"/>
    <mergeCell ref="D15:E15"/>
    <mergeCell ref="B20:I20"/>
    <mergeCell ref="H15:I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11" customWidth="1" min="5" max="5"/>
    <col width="22" customWidth="1" min="6" max="6"/>
    <col width="14" customWidth="1" min="7" max="7"/>
    <col width="12" customWidth="1" min="8" max="8"/>
    <col width="32" customWidth="1" min="9" max="9"/>
  </cols>
  <sheetData>
    <row r="1" ht="32" customHeight="1">
      <c r="A1" s="31" t="inlineStr">
        <is>
          <t>ID</t>
        </is>
      </c>
      <c r="B1" s="31" t="inlineStr">
        <is>
          <t>Fecha</t>
        </is>
      </c>
      <c r="C1" s="31" t="inlineStr">
        <is>
          <t>Nombre</t>
        </is>
      </c>
      <c r="D1" s="31" t="inlineStr">
        <is>
          <t>Monto</t>
        </is>
      </c>
      <c r="E1" s="31" t="inlineStr">
        <is>
          <t>Direccion</t>
        </is>
      </c>
      <c r="F1" s="31" t="inlineStr">
        <is>
          <t>Categoria</t>
        </is>
      </c>
      <c r="G1" s="31" t="inlineStr">
        <is>
          <t>Conf#</t>
        </is>
      </c>
      <c r="H1" s="31" t="inlineStr">
        <is>
          <t>Estado</t>
        </is>
      </c>
      <c r="I1" s="31" t="inlineStr">
        <is>
          <t>Notas</t>
        </is>
      </c>
    </row>
    <row r="2">
      <c r="A2" s="32" t="inlineStr">
        <is>
          <t>D-001</t>
        </is>
      </c>
      <c r="B2" s="32" t="inlineStr">
        <is>
          <t>2026-05-04</t>
        </is>
      </c>
      <c r="C2" s="32" t="inlineStr">
        <is>
          <t>Maria Gonzalez</t>
        </is>
      </c>
      <c r="D2" s="33" t="n">
        <v>500</v>
      </c>
      <c r="E2" s="34" t="inlineStr">
        <is>
          <t>in</t>
        </is>
      </c>
      <c r="F2" s="32" t="inlineStr">
        <is>
          <t>cobro_cliente</t>
        </is>
      </c>
      <c r="G2" s="32" t="inlineStr">
        <is>
          <t>ABC123XYZ</t>
        </is>
      </c>
      <c r="H2" s="32" t="inlineStr">
        <is>
          <t>completed</t>
        </is>
      </c>
      <c r="I2" s="32" t="inlineStr">
        <is>
          <t>Pago anticipo orden #1247</t>
        </is>
      </c>
    </row>
    <row r="3">
      <c r="A3" s="32" t="inlineStr">
        <is>
          <t>D-002</t>
        </is>
      </c>
      <c r="B3" s="32" t="inlineStr">
        <is>
          <t>2026-05-03</t>
        </is>
      </c>
      <c r="C3" s="32" t="inlineStr">
        <is>
          <t>Carlos Perez</t>
        </is>
      </c>
      <c r="D3" s="33" t="n">
        <v>700</v>
      </c>
      <c r="E3" s="34" t="inlineStr">
        <is>
          <t>in</t>
        </is>
      </c>
      <c r="F3" s="32" t="inlineStr">
        <is>
          <t>cobro_cliente</t>
        </is>
      </c>
      <c r="G3" s="32" t="inlineStr">
        <is>
          <t>XYZ789DEF</t>
        </is>
      </c>
      <c r="H3" s="32" t="inlineStr">
        <is>
          <t>completed</t>
        </is>
      </c>
      <c r="I3" s="32" t="inlineStr">
        <is>
          <t>Pago final pedido</t>
        </is>
      </c>
    </row>
    <row r="4">
      <c r="A4" s="32" t="inlineStr">
        <is>
          <t>D-003</t>
        </is>
      </c>
      <c r="B4" s="32" t="inlineStr">
        <is>
          <t>2026-05-03</t>
        </is>
      </c>
      <c r="C4" s="32" t="inlineStr">
        <is>
          <t>Empresa XYZ</t>
        </is>
      </c>
      <c r="D4" s="33" t="n">
        <v>850</v>
      </c>
      <c r="E4" s="34" t="inlineStr">
        <is>
          <t>in</t>
        </is>
      </c>
      <c r="F4" s="32" t="inlineStr">
        <is>
          <t>cobro_cliente</t>
        </is>
      </c>
      <c r="G4" s="32" t="inlineStr">
        <is>
          <t>QWE456RTY</t>
        </is>
      </c>
      <c r="H4" s="32" t="inlineStr">
        <is>
          <t>completed</t>
        </is>
      </c>
      <c r="I4" s="32" t="inlineStr">
        <is>
          <t>Pago factura mayo</t>
        </is>
      </c>
    </row>
    <row r="5">
      <c r="A5" s="32" t="inlineStr">
        <is>
          <t>D-004</t>
        </is>
      </c>
      <c r="B5" s="32" t="inlineStr">
        <is>
          <t>2026-05-02</t>
        </is>
      </c>
      <c r="C5" s="32" t="inlineStr">
        <is>
          <t>Carlos Perez</t>
        </is>
      </c>
      <c r="D5" s="33" t="n">
        <v>500</v>
      </c>
      <c r="E5" s="34" t="inlineStr">
        <is>
          <t>in</t>
        </is>
      </c>
      <c r="F5" s="32" t="inlineStr">
        <is>
          <t>cobro_cliente</t>
        </is>
      </c>
      <c r="G5" s="32" t="inlineStr">
        <is>
          <t>MNB789POI</t>
        </is>
      </c>
      <c r="H5" s="32" t="inlineStr">
        <is>
          <t>completed</t>
        </is>
      </c>
      <c r="I5" s="32" t="inlineStr">
        <is>
          <t>Anticipo pedido grande</t>
        </is>
      </c>
    </row>
    <row r="6">
      <c r="A6" s="32" t="inlineStr">
        <is>
          <t>D-005</t>
        </is>
      </c>
      <c r="B6" s="32" t="inlineStr">
        <is>
          <t>2026-05-02</t>
        </is>
      </c>
      <c r="C6" s="32" t="inlineStr">
        <is>
          <t>Lucia Ramirez</t>
        </is>
      </c>
      <c r="D6" s="33" t="n">
        <v>650</v>
      </c>
      <c r="E6" s="34" t="inlineStr">
        <is>
          <t>in</t>
        </is>
      </c>
      <c r="F6" s="32" t="inlineStr">
        <is>
          <t>cobro_cliente</t>
        </is>
      </c>
      <c r="G6" s="32" t="inlineStr">
        <is>
          <t>ZXC123ASD</t>
        </is>
      </c>
      <c r="H6" s="32" t="inlineStr">
        <is>
          <t>completed</t>
        </is>
      </c>
      <c r="I6" s="32" t="inlineStr">
        <is>
          <t>Pago semanal</t>
        </is>
      </c>
    </row>
    <row r="7">
      <c r="A7" s="32" t="inlineStr">
        <is>
          <t>D-006</t>
        </is>
      </c>
      <c r="B7" s="32" t="inlineStr">
        <is>
          <t>2026-05-01</t>
        </is>
      </c>
      <c r="C7" s="32" t="inlineStr">
        <is>
          <t>Gandola Beleva</t>
        </is>
      </c>
      <c r="D7" s="33" t="n">
        <v>5000</v>
      </c>
      <c r="E7" s="35" t="inlineStr">
        <is>
          <t>out</t>
        </is>
      </c>
      <c r="F7" s="32" t="inlineStr">
        <is>
          <t>entrega_gandola</t>
        </is>
      </c>
      <c r="G7" s="32" t="inlineStr"/>
      <c r="H7" s="32" t="inlineStr">
        <is>
          <t>completed</t>
        </is>
      </c>
      <c r="I7" s="32" t="inlineStr">
        <is>
          <t>Capital viaje Caracas</t>
        </is>
      </c>
    </row>
    <row r="8">
      <c r="A8" s="32" t="inlineStr">
        <is>
          <t>D-007</t>
        </is>
      </c>
      <c r="B8" s="32" t="inlineStr">
        <is>
          <t>2026-05-01</t>
        </is>
      </c>
      <c r="C8" s="32" t="inlineStr">
        <is>
          <t>Pedro Lopez</t>
        </is>
      </c>
      <c r="D8" s="33" t="n">
        <v>400</v>
      </c>
      <c r="E8" s="34" t="inlineStr">
        <is>
          <t>in</t>
        </is>
      </c>
      <c r="F8" s="32" t="inlineStr">
        <is>
          <t>cobro_cliente</t>
        </is>
      </c>
      <c r="G8" s="32" t="inlineStr">
        <is>
          <t>WER567TYU</t>
        </is>
      </c>
      <c r="H8" s="32" t="inlineStr">
        <is>
          <t>completed</t>
        </is>
      </c>
      <c r="I8" s="32" t="inlineStr">
        <is>
          <t>Pago</t>
        </is>
      </c>
    </row>
    <row r="9">
      <c r="A9" s="32" t="inlineStr">
        <is>
          <t>D-008</t>
        </is>
      </c>
      <c r="B9" s="32" t="inlineStr">
        <is>
          <t>2026-04-30</t>
        </is>
      </c>
      <c r="C9" s="32" t="inlineStr">
        <is>
          <t>Juan Rodriguez</t>
        </is>
      </c>
      <c r="D9" s="33" t="n">
        <v>800</v>
      </c>
      <c r="E9" s="35" t="inlineStr">
        <is>
          <t>out</t>
        </is>
      </c>
      <c r="F9" s="32" t="inlineStr">
        <is>
          <t>venta_credito</t>
        </is>
      </c>
      <c r="G9" s="32" t="inlineStr"/>
      <c r="H9" s="32" t="inlineStr">
        <is>
          <t>completed</t>
        </is>
      </c>
      <c r="I9" s="32" t="inlineStr">
        <is>
          <t>Mercancia paga el 15 de mayo</t>
        </is>
      </c>
    </row>
    <row r="10">
      <c r="A10" s="32" t="inlineStr">
        <is>
          <t>D-009</t>
        </is>
      </c>
      <c r="B10" s="32" t="inlineStr">
        <is>
          <t>2026-04-30</t>
        </is>
      </c>
      <c r="C10" s="32" t="inlineStr">
        <is>
          <t>Planilla Equipo</t>
        </is>
      </c>
      <c r="D10" s="33" t="n">
        <v>2500</v>
      </c>
      <c r="E10" s="35" t="inlineStr">
        <is>
          <t>out</t>
        </is>
      </c>
      <c r="F10" s="32" t="inlineStr">
        <is>
          <t>planilla</t>
        </is>
      </c>
      <c r="G10" s="32" t="inlineStr"/>
      <c r="H10" s="32" t="inlineStr">
        <is>
          <t>completed</t>
        </is>
      </c>
      <c r="I10" s="32" t="inlineStr">
        <is>
          <t>Quincena fin abril</t>
        </is>
      </c>
    </row>
    <row r="11">
      <c r="A11" s="32" t="inlineStr">
        <is>
          <t>D-010</t>
        </is>
      </c>
      <c r="B11" s="32" t="inlineStr">
        <is>
          <t>2026-04-29</t>
        </is>
      </c>
      <c r="C11" s="32" t="inlineStr">
        <is>
          <t>Aduana DAE</t>
        </is>
      </c>
      <c r="D11" s="33" t="n">
        <v>1350</v>
      </c>
      <c r="E11" s="35" t="inlineStr">
        <is>
          <t>out</t>
        </is>
      </c>
      <c r="F11" s="32" t="inlineStr">
        <is>
          <t>impuesto_gandola</t>
        </is>
      </c>
      <c r="G11" s="32" t="inlineStr"/>
      <c r="H11" s="32" t="inlineStr">
        <is>
          <t>completed</t>
        </is>
      </c>
      <c r="I11" s="32" t="inlineStr">
        <is>
          <t>Permiso ingreso Venezuela</t>
        </is>
      </c>
    </row>
    <row r="12">
      <c r="A12" s="32" t="inlineStr">
        <is>
          <t>D-011</t>
        </is>
      </c>
      <c r="B12" s="32" t="inlineStr">
        <is>
          <t>2026-04-28</t>
        </is>
      </c>
      <c r="C12" s="32" t="inlineStr">
        <is>
          <t>Luis Mendoza</t>
        </is>
      </c>
      <c r="D12" s="33" t="n">
        <v>1600</v>
      </c>
      <c r="E12" s="35" t="inlineStr">
        <is>
          <t>out</t>
        </is>
      </c>
      <c r="F12" s="32" t="inlineStr">
        <is>
          <t>pago_deuda_interes</t>
        </is>
      </c>
      <c r="G12" s="32" t="inlineStr"/>
      <c r="H12" s="32" t="inlineStr">
        <is>
          <t>completed</t>
        </is>
      </c>
      <c r="I12" s="32" t="inlineStr">
        <is>
          <t>Interes mensual abril</t>
        </is>
      </c>
    </row>
    <row r="13">
      <c r="A13" s="32" t="inlineStr">
        <is>
          <t>D-012</t>
        </is>
      </c>
      <c r="B13" s="32" t="inlineStr">
        <is>
          <t>2026-04-28</t>
        </is>
      </c>
      <c r="C13" s="32" t="inlineStr">
        <is>
          <t>Pedro Ramos</t>
        </is>
      </c>
      <c r="D13" s="33" t="n">
        <v>2500</v>
      </c>
      <c r="E13" s="35" t="inlineStr">
        <is>
          <t>out</t>
        </is>
      </c>
      <c r="F13" s="32" t="inlineStr">
        <is>
          <t>pago_deuda_interes</t>
        </is>
      </c>
      <c r="G13" s="32" t="inlineStr"/>
      <c r="H13" s="32" t="inlineStr">
        <is>
          <t>completed</t>
        </is>
      </c>
      <c r="I13" s="32" t="inlineStr">
        <is>
          <t>Interes mensual abril</t>
        </is>
      </c>
    </row>
    <row r="14">
      <c r="A14" s="32" t="inlineStr">
        <is>
          <t>D-013</t>
        </is>
      </c>
      <c r="B14" s="32" t="inlineStr">
        <is>
          <t>2026-04-27</t>
        </is>
      </c>
      <c r="C14" s="32" t="inlineStr">
        <is>
          <t>Logistica Andes</t>
        </is>
      </c>
      <c r="D14" s="33" t="n">
        <v>2800</v>
      </c>
      <c r="E14" s="35" t="inlineStr">
        <is>
          <t>out</t>
        </is>
      </c>
      <c r="F14" s="32" t="inlineStr">
        <is>
          <t>gasto_logistica</t>
        </is>
      </c>
      <c r="G14" s="32" t="inlineStr"/>
      <c r="H14" s="32" t="inlineStr">
        <is>
          <t>completed</t>
        </is>
      </c>
      <c r="I14" s="32" t="inlineStr">
        <is>
          <t>Flete contenedor</t>
        </is>
      </c>
    </row>
    <row r="15">
      <c r="A15" s="32" t="inlineStr">
        <is>
          <t>D-014</t>
        </is>
      </c>
      <c r="B15" s="32" t="inlineStr">
        <is>
          <t>2026-04-26</t>
        </is>
      </c>
      <c r="C15" s="32" t="inlineStr">
        <is>
          <t>Gandola Beleva</t>
        </is>
      </c>
      <c r="D15" s="33" t="n">
        <v>4200</v>
      </c>
      <c r="E15" s="34" t="inlineStr">
        <is>
          <t>in</t>
        </is>
      </c>
      <c r="F15" s="32" t="inlineStr">
        <is>
          <t>retorno_gandola</t>
        </is>
      </c>
      <c r="G15" s="32" t="inlineStr"/>
      <c r="H15" s="32" t="inlineStr">
        <is>
          <t>completed</t>
        </is>
      </c>
      <c r="I15" s="32" t="inlineStr">
        <is>
          <t>Cierre viaje Caracas - efectivo</t>
        </is>
      </c>
    </row>
    <row r="16">
      <c r="A16" s="32" t="inlineStr">
        <is>
          <t>D-015</t>
        </is>
      </c>
      <c r="B16" s="32" t="inlineStr">
        <is>
          <t>2026-04-25</t>
        </is>
      </c>
      <c r="C16" s="32" t="inlineStr">
        <is>
          <t>Viaticos chofer</t>
        </is>
      </c>
      <c r="D16" s="33" t="n">
        <v>320</v>
      </c>
      <c r="E16" s="35" t="inlineStr">
        <is>
          <t>out</t>
        </is>
      </c>
      <c r="F16" s="32" t="inlineStr">
        <is>
          <t>viaticos</t>
        </is>
      </c>
      <c r="G16" s="32" t="inlineStr"/>
      <c r="H16" s="32" t="inlineStr">
        <is>
          <t>completed</t>
        </is>
      </c>
      <c r="I16" s="32" t="inlineStr">
        <is>
          <t>Comida + peajes Caracas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  <col width="16" customWidth="1" min="8" max="8"/>
    <col width="16" customWidth="1" min="9" max="9"/>
    <col width="12" customWidth="1" min="10" max="10"/>
    <col width="12" customWidth="1" min="11" max="11"/>
    <col width="18" customWidth="1" min="12" max="12"/>
    <col width="14" customWidth="1" min="13" max="13"/>
    <col width="35" customWidth="1" min="14" max="14"/>
  </cols>
  <sheetData>
    <row r="1" ht="32" customHeight="1">
      <c r="A1" s="5" t="inlineStr">
        <is>
          <t>DEUDAS  ·  Por cobrar / Por pagar</t>
        </is>
      </c>
    </row>
    <row r="3" ht="26" customHeight="1">
      <c r="A3" s="19" t="inlineStr">
        <is>
          <t>Deudor / Acreedor</t>
        </is>
      </c>
      <c r="B3" s="19" t="inlineStr">
        <is>
          <t>Tipo</t>
        </is>
      </c>
      <c r="C3" s="19" t="inlineStr">
        <is>
          <t>Capital Original</t>
        </is>
      </c>
      <c r="D3" s="19" t="inlineStr">
        <is>
          <t>Fecha Inicio</t>
        </is>
      </c>
      <c r="E3" s="19" t="inlineStr">
        <is>
          <t>Tasa Mensual %</t>
        </is>
      </c>
      <c r="F3" s="19" t="inlineStr">
        <is>
          <t>Meses Transc.</t>
        </is>
      </c>
      <c r="G3" s="19" t="inlineStr">
        <is>
          <t>Interes Mensual Fijo</t>
        </is>
      </c>
      <c r="H3" s="19" t="inlineStr">
        <is>
          <t>Pagos a Capital</t>
        </is>
      </c>
      <c r="I3" s="19" t="inlineStr">
        <is>
          <t>Saldo Vivo</t>
        </is>
      </c>
      <c r="J3" s="19" t="inlineStr">
        <is>
          <t>Fecha Vcto.</t>
        </is>
      </c>
      <c r="K3" s="19" t="inlineStr">
        <is>
          <t>Dias p/Vcto.</t>
        </is>
      </c>
      <c r="L3" s="19" t="inlineStr">
        <is>
          <t>Forma de Pago</t>
        </is>
      </c>
      <c r="M3" s="19" t="inlineStr">
        <is>
          <t>Status</t>
        </is>
      </c>
      <c r="N3" s="19" t="inlineStr">
        <is>
          <t>Notas</t>
        </is>
      </c>
    </row>
    <row r="4">
      <c r="A4" s="36" t="inlineStr">
        <is>
          <t>Luis Mendoza</t>
        </is>
      </c>
      <c r="B4" s="36" t="inlineStr">
        <is>
          <t>Por Pagar</t>
        </is>
      </c>
      <c r="C4" s="37" t="n">
        <v>40000</v>
      </c>
      <c r="D4" s="36" t="inlineStr">
        <is>
          <t>2025-12-15</t>
        </is>
      </c>
      <c r="E4" s="38" t="n">
        <v>4</v>
      </c>
      <c r="F4" s="36" t="n">
        <v>4</v>
      </c>
      <c r="G4" s="39" t="n">
        <v>1600</v>
      </c>
      <c r="H4" s="39" t="n">
        <v>0</v>
      </c>
      <c r="I4" s="40" t="n">
        <v>40000</v>
      </c>
      <c r="J4" s="36" t="inlineStr"/>
      <c r="K4" s="36" t="inlineStr"/>
      <c r="L4" s="36" t="inlineStr">
        <is>
          <t>Transferencia mensual</t>
        </is>
      </c>
      <c r="M4" s="36" t="inlineStr">
        <is>
          <t>Sin vcto.</t>
        </is>
      </c>
      <c r="N4" s="36" t="inlineStr">
        <is>
          <t>Prestamo dic 2025. Capital $40,000. Interes 4% mensual fijo $1,600. Solo se pagan intereses; capital intacto.</t>
        </is>
      </c>
    </row>
    <row r="5">
      <c r="A5" s="36" t="inlineStr">
        <is>
          <t>Pedro Ramos</t>
        </is>
      </c>
      <c r="B5" s="36" t="inlineStr">
        <is>
          <t>Por Pagar</t>
        </is>
      </c>
      <c r="C5" s="37" t="n">
        <v>50000</v>
      </c>
      <c r="D5" s="36" t="inlineStr">
        <is>
          <t>2025-12-15</t>
        </is>
      </c>
      <c r="E5" s="38" t="n">
        <v>5</v>
      </c>
      <c r="F5" s="36" t="n">
        <v>4</v>
      </c>
      <c r="G5" s="39" t="n">
        <v>2500</v>
      </c>
      <c r="H5" s="39" t="n">
        <v>0</v>
      </c>
      <c r="I5" s="40" t="n">
        <v>50000</v>
      </c>
      <c r="J5" s="36" t="inlineStr"/>
      <c r="K5" s="36" t="inlineStr"/>
      <c r="L5" s="36" t="inlineStr">
        <is>
          <t>Transferencia mensual</t>
        </is>
      </c>
      <c r="M5" s="36" t="inlineStr">
        <is>
          <t>Sin vcto.</t>
        </is>
      </c>
      <c r="N5" s="36" t="inlineStr">
        <is>
          <t>Prestamo dic 2025. Capital $50,000. Interes 5% mensual fijo $2,500. Solo se pagan intereses; capital intacto.</t>
        </is>
      </c>
    </row>
    <row r="10">
      <c r="A10" s="41" t="inlineStr">
        <is>
          <t>TOTAL POR PAGAR</t>
        </is>
      </c>
      <c r="C10" s="42" t="n">
        <v>90000</v>
      </c>
      <c r="G10" s="43" t="n">
        <v>4100</v>
      </c>
      <c r="I10" s="44" t="n">
        <v>90000</v>
      </c>
    </row>
    <row r="14">
      <c r="A14" s="45" t="inlineStr">
        <is>
          <t>CREDITO ROTATIVO PROVEEDOR</t>
        </is>
      </c>
    </row>
    <row r="15">
      <c r="A15" s="27" t="inlineStr">
        <is>
          <t>Proveedor</t>
        </is>
      </c>
      <c r="B15" s="27" t="inlineStr">
        <is>
          <t>Cisterna Pendiente</t>
        </is>
      </c>
      <c r="C15" s="27" t="inlineStr">
        <is>
          <t>Monto</t>
        </is>
      </c>
      <c r="D15" s="27" t="inlineStr">
        <is>
          <t>Fecha Entrega</t>
        </is>
      </c>
    </row>
    <row r="16">
      <c r="A16" s="46" t="inlineStr">
        <is>
          <t>Royal Caribena</t>
        </is>
      </c>
      <c r="B16" s="47" t="inlineStr">
        <is>
          <t>Cisterna 15 (BS150)</t>
        </is>
      </c>
      <c r="C16" s="48" t="n">
        <v>65637.82000000001</v>
      </c>
      <c r="D16" s="47" t="inlineStr">
        <is>
          <t>2026-04-15</t>
        </is>
      </c>
    </row>
  </sheetData>
  <mergeCells count="2">
    <mergeCell ref="A14:E1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22" customWidth="1" min="3" max="3"/>
  </cols>
  <sheetData>
    <row r="2">
      <c r="B2" s="49" t="inlineStr">
        <is>
          <t>KPIs (referencia)</t>
        </is>
      </c>
    </row>
    <row r="5">
      <c r="B5" s="50" t="inlineStr">
        <is>
          <t>Total Ingresos</t>
        </is>
      </c>
      <c r="C5" s="51">
        <f>SUMIFS(Transacciones!D:D,Transacciones!E:E,"in")</f>
        <v/>
      </c>
    </row>
    <row r="6">
      <c r="B6" s="50" t="inlineStr">
        <is>
          <t>Total Gastos</t>
        </is>
      </c>
      <c r="C6" s="51">
        <f>SUMIFS(Transacciones!D:D,Transacciones!E:E,"out")</f>
        <v/>
      </c>
    </row>
    <row r="7">
      <c r="B7" s="50" t="inlineStr">
        <is>
          <t>Flujo Neto</t>
        </is>
      </c>
      <c r="C7" s="51">
        <f>C5-C6</f>
        <v/>
      </c>
    </row>
    <row r="8">
      <c r="B8" s="50" t="inlineStr">
        <is>
          <t># Cobros</t>
        </is>
      </c>
      <c r="C8" s="52">
        <f>COUNTIFS(Transacciones!E:E,"in")</f>
        <v/>
      </c>
    </row>
    <row r="9">
      <c r="B9" s="50" t="inlineStr">
        <is>
          <t># Pagos</t>
        </is>
      </c>
      <c r="C9" s="52">
        <f>COUNTIFS(Transacciones!E:E,"out")</f>
        <v/>
      </c>
    </row>
    <row r="10">
      <c r="B10" s="50" t="inlineStr">
        <is>
          <t>Banco (calculado)</t>
        </is>
      </c>
      <c r="C10" s="51">
        <f>Portada!C10</f>
        <v/>
      </c>
    </row>
    <row r="11">
      <c r="B11" s="50" t="inlineStr">
        <is>
          <t>Gandolas (calculado)</t>
        </is>
      </c>
      <c r="C11" s="51">
        <f>Portada!E10</f>
        <v/>
      </c>
    </row>
    <row r="12">
      <c r="B12" s="50" t="inlineStr">
        <is>
          <t>Por Cobrar (calculado)</t>
        </is>
      </c>
      <c r="C12" s="51">
        <f>Portada!G10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2026-05-04T13:55:12Z</dcterms:created>
  <dcterms:modified xmlns:dcterms="http://purl.org/dc/terms/" xmlns:xsi="http://www.w3.org/2001/XMLSchema-instance" xsi:type="dcterms:W3CDTF">2026-05-04T13:55:12Z</dcterms:modified>
</cp:coreProperties>
</file>