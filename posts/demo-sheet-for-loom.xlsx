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nsacciones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Deudas" sheetId="5" state="visible" r:id="rId5"/>
    <sheet xmlns:r="http://schemas.openxmlformats.org/officeDocument/2006/relationships" name="KP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&quot; gandolas&quot;"/>
    <numFmt numFmtId="166" formatCode="0&quot; cobros&quot;"/>
    <numFmt numFmtId="167" formatCode="&quot;$&quot;#,##0;[Red]-&quot;$&quot;#,##0;&quot;&quot;"/>
    <numFmt numFmtId="168" formatCode="&quot;$&quot;#,##0"/>
    <numFmt numFmtId="169" formatCode="0.00\%"/>
    <numFmt numFmtId="170" formatCode="&quot;$&quot;#,##0.00;[Red]-&quot;$&quot;#,##0.00"/>
  </numFmts>
  <fonts count="42">
    <font>
      <name val="Calibri"/>
      <family val="2"/>
      <color theme="1"/>
      <sz val="11"/>
      <scheme val="minor"/>
    </font>
    <font>
      <b val="1"/>
      <color rgb="00C9A961"/>
      <sz val="18"/>
    </font>
    <font>
      <i val="1"/>
      <color rgb="0064748B"/>
      <sz val="11"/>
    </font>
    <font>
      <i val="1"/>
      <color rgb="0094A3B8"/>
      <sz val="9"/>
    </font>
    <font>
      <b val="1"/>
      <color rgb="00C9A961"/>
      <sz val="13"/>
    </font>
    <font>
      <b val="1"/>
      <color rgb="001F4D2E"/>
      <sz val="12"/>
    </font>
    <font>
      <color rgb="001A1A1A"/>
      <sz val="10"/>
    </font>
    <font>
      <i val="1"/>
      <color rgb="0064748B"/>
      <sz val="10"/>
    </font>
    <font>
      <b val="1"/>
      <color rgb="001F4D2E"/>
      <sz val="18"/>
    </font>
    <font>
      <b val="1"/>
      <color rgb="000070C0"/>
      <sz val="11"/>
    </font>
    <font>
      <b val="1"/>
      <color rgb="00C9A961"/>
      <sz val="11"/>
    </font>
    <font>
      <b val="1"/>
      <color rgb="001A1A1A"/>
      <sz val="36"/>
    </font>
    <font>
      <b val="1"/>
      <color rgb="00C9A961"/>
      <sz val="12"/>
    </font>
    <font>
      <b val="1"/>
      <color rgb="001F4D2E"/>
      <sz val="10"/>
    </font>
    <font>
      <b val="1"/>
      <color rgb="0000B050"/>
      <sz val="20"/>
    </font>
    <font>
      <i val="1"/>
      <color rgb="0064748B"/>
      <sz val="9"/>
    </font>
    <font>
      <b val="1"/>
      <color rgb="001A1A1A"/>
      <sz val="20"/>
    </font>
    <font>
      <b val="1"/>
      <color rgb="0092400E"/>
      <sz val="10"/>
    </font>
    <font>
      <b val="1"/>
      <color rgb="0092400E"/>
      <sz val="22"/>
    </font>
    <font>
      <b val="1"/>
      <color rgb="00991B1B"/>
      <sz val="10"/>
    </font>
    <font>
      <b val="1"/>
      <color rgb="00991B1B"/>
      <sz val="22"/>
    </font>
    <font>
      <b val="1"/>
      <color rgb="00166534"/>
      <sz val="10"/>
    </font>
    <font>
      <b val="1"/>
      <color rgb="00166534"/>
      <sz val="22"/>
    </font>
    <font>
      <b val="1"/>
      <color rgb="001A1A1A"/>
      <sz val="10"/>
    </font>
    <font>
      <b val="1"/>
      <color rgb="00166534"/>
      <sz val="11"/>
    </font>
    <font>
      <b val="1"/>
      <color rgb="000070C0"/>
      <sz val="10"/>
    </font>
    <font>
      <b val="1"/>
      <color rgb="0000B050"/>
      <sz val="10"/>
    </font>
    <font>
      <b val="1"/>
      <color rgb="00C9A961"/>
      <sz val="10"/>
    </font>
    <font>
      <color rgb="0000B050"/>
      <sz val="9"/>
    </font>
    <font>
      <b val="1"/>
      <color rgb="001A1A1A"/>
      <sz val="9"/>
    </font>
    <font>
      <b val="1"/>
      <color rgb="00C9A961"/>
      <sz val="14"/>
    </font>
    <font>
      <b val="1"/>
      <color rgb="001F4D2E"/>
    </font>
    <font>
      <b val="1"/>
      <color rgb="0000B050"/>
      <sz val="11"/>
    </font>
    <font>
      <b val="1"/>
      <sz val="11"/>
    </font>
    <font>
      <color rgb="000070C0"/>
      <sz val="10"/>
    </font>
    <font>
      <b val="1"/>
      <color rgb="00C9A961"/>
      <sz val="20"/>
    </font>
    <font>
      <b val="1"/>
      <color rgb="0000B050"/>
      <sz val="40"/>
    </font>
    <font>
      <b val="1"/>
      <color rgb="001F4D2E"/>
      <sz val="9"/>
    </font>
    <font>
      <b val="1"/>
      <color rgb="0000B050"/>
      <sz val="18"/>
    </font>
    <font>
      <i val="1"/>
      <color rgb="0064748B"/>
      <sz val="8"/>
    </font>
    <font>
      <b val="1"/>
      <color rgb="001A1A1A"/>
      <sz val="18"/>
    </font>
    <font>
      <color rgb="0064748B"/>
      <sz val="10"/>
    </font>
  </fonts>
  <fills count="15">
    <fill>
      <patternFill/>
    </fill>
    <fill>
      <patternFill patternType="gray125"/>
    </fill>
    <fill>
      <patternFill patternType="solid">
        <fgColor rgb="001F4D2E"/>
      </patternFill>
    </fill>
    <fill>
      <patternFill patternType="solid">
        <fgColor rgb="00F5ECD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ED7AA"/>
      </patternFill>
    </fill>
    <fill>
      <patternFill patternType="solid">
        <fgColor rgb="00DCFCE7"/>
      </patternFill>
    </fill>
    <fill>
      <patternFill patternType="solid">
        <fgColor rgb="00FEE2E2"/>
      </patternFill>
    </fill>
    <fill>
      <patternFill patternType="solid">
        <fgColor rgb="00F8FAFC"/>
      </patternFill>
    </fill>
    <fill>
      <patternFill patternType="solid">
        <fgColor rgb="008B6914"/>
      </patternFill>
    </fill>
    <fill>
      <patternFill patternType="solid">
        <fgColor rgb="00F0FDF4"/>
      </patternFill>
    </fill>
    <fill>
      <patternFill patternType="solid">
        <fgColor rgb="00FEF2F2"/>
      </patternFill>
    </fill>
    <fill>
      <patternFill patternType="solid">
        <fgColor rgb="00EFF6FF"/>
      </patternFill>
    </fill>
    <fill>
      <patternFill patternType="solid">
        <fgColor rgb="00C9A961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/>
    </xf>
    <xf numFmtId="164" fontId="9" fillId="4" borderId="0" pivotButton="0" quotePrefix="0" xfId="0"/>
    <xf numFmtId="0" fontId="10" fillId="2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164" fontId="14" fillId="5" borderId="0" applyAlignment="1" pivotButton="0" quotePrefix="0" xfId="0">
      <alignment horizontal="center" vertical="center"/>
    </xf>
    <xf numFmtId="164" fontId="14" fillId="6" borderId="0" applyAlignment="1" pivotButton="0" quotePrefix="0" xfId="0">
      <alignment horizontal="center" vertical="center"/>
    </xf>
    <xf numFmtId="164" fontId="16" fillId="7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/>
    </xf>
    <xf numFmtId="0" fontId="15" fillId="5" borderId="0" applyAlignment="1" pivotButton="0" quotePrefix="0" xfId="0">
      <alignment horizontal="center"/>
    </xf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2" fillId="2" borderId="0" applyAlignment="1" pivotButton="0" quotePrefix="0" xfId="0">
      <alignment horizontal="left" vertical="center" indent="1"/>
    </xf>
    <xf numFmtId="0" fontId="13" fillId="8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164" fontId="14" fillId="7" borderId="0" applyAlignment="1" pivotButton="0" quotePrefix="0" xfId="0">
      <alignment horizontal="center" vertical="center"/>
    </xf>
    <xf numFmtId="164" fontId="14" fillId="8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/>
    </xf>
    <xf numFmtId="0" fontId="15" fillId="3" borderId="0" applyAlignment="1" pivotButton="0" quotePrefix="0" xfId="0">
      <alignment horizontal="center"/>
    </xf>
    <xf numFmtId="0" fontId="17" fillId="5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center" vertical="center"/>
    </xf>
    <xf numFmtId="0" fontId="21" fillId="7" borderId="0" applyAlignment="1" pivotButton="0" quotePrefix="0" xfId="0">
      <alignment horizontal="center" vertical="center"/>
    </xf>
    <xf numFmtId="165" fontId="18" fillId="5" borderId="0" applyAlignment="1" pivotButton="0" quotePrefix="0" xfId="0">
      <alignment horizontal="center" vertical="center"/>
    </xf>
    <xf numFmtId="164" fontId="20" fillId="8" borderId="0" applyAlignment="1" pivotButton="0" quotePrefix="0" xfId="0">
      <alignment horizontal="center" vertical="center"/>
    </xf>
    <xf numFmtId="166" fontId="22" fillId="7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/>
    </xf>
    <xf numFmtId="0" fontId="23" fillId="0" borderId="0" pivotButton="0" quotePrefix="0" xfId="0"/>
    <xf numFmtId="164" fontId="24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right"/>
    </xf>
    <xf numFmtId="0" fontId="10" fillId="2" borderId="1" applyAlignment="1" pivotButton="0" quotePrefix="0" xfId="0">
      <alignment horizontal="center" vertical="center"/>
    </xf>
    <xf numFmtId="0" fontId="6" fillId="9" borderId="1" pivotButton="0" quotePrefix="0" xfId="0"/>
    <xf numFmtId="164" fontId="25" fillId="9" borderId="1" applyAlignment="1" pivotButton="0" quotePrefix="0" xfId="0">
      <alignment horizontal="right"/>
    </xf>
    <xf numFmtId="0" fontId="21" fillId="9" borderId="1" applyAlignment="1" pivotButton="0" quotePrefix="0" xfId="0">
      <alignment horizontal="center"/>
    </xf>
    <xf numFmtId="0" fontId="6" fillId="0" borderId="1" pivotButton="0" quotePrefix="0" xfId="0"/>
    <xf numFmtId="164" fontId="25" fillId="0" borderId="1" applyAlignment="1" pivotButton="0" quotePrefix="0" xfId="0">
      <alignment horizontal="right"/>
    </xf>
    <xf numFmtId="0" fontId="21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center"/>
    </xf>
    <xf numFmtId="0" fontId="19" fillId="9" borderId="1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15" fillId="0" borderId="0" applyAlignment="1" pivotButton="0" quotePrefix="0" xfId="0">
      <alignment horizontal="right"/>
    </xf>
    <xf numFmtId="164" fontId="26" fillId="0" borderId="0" pivotButton="0" quotePrefix="0" xfId="0"/>
    <xf numFmtId="0" fontId="27" fillId="2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1" fillId="7" borderId="0" applyAlignment="1" pivotButton="0" quotePrefix="0" xfId="0">
      <alignment horizontal="left" vertical="center" indent="1"/>
    </xf>
    <xf numFmtId="167" fontId="28" fillId="11" borderId="0" applyAlignment="1" pivotButton="0" quotePrefix="0" xfId="0">
      <alignment horizontal="right"/>
    </xf>
    <xf numFmtId="168" fontId="23" fillId="3" borderId="0" applyAlignment="1" pivotButton="0" quotePrefix="0" xfId="0">
      <alignment horizontal="right"/>
    </xf>
    <xf numFmtId="0" fontId="19" fillId="8" borderId="0" applyAlignment="1" pivotButton="0" quotePrefix="0" xfId="0">
      <alignment horizontal="left" vertical="center" indent="1"/>
    </xf>
    <xf numFmtId="167" fontId="28" fillId="12" borderId="0" applyAlignment="1" pivotButton="0" quotePrefix="0" xfId="0">
      <alignment horizontal="right"/>
    </xf>
    <xf numFmtId="0" fontId="13" fillId="3" borderId="0" applyAlignment="1" pivotButton="0" quotePrefix="0" xfId="0">
      <alignment horizontal="left" vertical="center" indent="1"/>
    </xf>
    <xf numFmtId="167" fontId="29" fillId="0" borderId="0" applyAlignment="1" pivotButton="0" quotePrefix="0" xfId="0">
      <alignment horizontal="right"/>
    </xf>
    <xf numFmtId="0" fontId="13" fillId="4" borderId="0" applyAlignment="1" pivotButton="0" quotePrefix="0" xfId="0">
      <alignment horizontal="left" vertical="center" indent="1"/>
    </xf>
    <xf numFmtId="168" fontId="29" fillId="13" borderId="0" applyAlignment="1" pivotButton="0" quotePrefix="0" xfId="0">
      <alignment horizontal="right"/>
    </xf>
    <xf numFmtId="168" fontId="23" fillId="14" borderId="0" applyAlignment="1" pivotButton="0" quotePrefix="0" xfId="0">
      <alignment horizontal="right"/>
    </xf>
    <xf numFmtId="0" fontId="30" fillId="2" borderId="0" applyAlignment="1" pivotButton="0" quotePrefix="0" xfId="0">
      <alignment horizontal="left" vertical="center" indent="1"/>
    </xf>
    <xf numFmtId="0" fontId="6" fillId="0" borderId="0" pivotButton="0" quotePrefix="0" xfId="0"/>
    <xf numFmtId="164" fontId="25" fillId="0" borderId="0" applyAlignment="1" pivotButton="0" quotePrefix="0" xfId="0">
      <alignment horizontal="right"/>
    </xf>
    <xf numFmtId="169" fontId="6" fillId="0" borderId="0" applyAlignment="1" pivotButton="0" quotePrefix="0" xfId="0">
      <alignment horizontal="center"/>
    </xf>
    <xf numFmtId="164" fontId="26" fillId="0" borderId="0" applyAlignment="1" pivotButton="0" quotePrefix="0" xfId="0">
      <alignment horizontal="right"/>
    </xf>
    <xf numFmtId="164" fontId="23" fillId="0" borderId="0" applyAlignment="1" pivotButton="0" quotePrefix="0" xfId="0">
      <alignment horizontal="right"/>
    </xf>
    <xf numFmtId="0" fontId="31" fillId="3" borderId="0" pivotButton="0" quotePrefix="0" xfId="0"/>
    <xf numFmtId="164" fontId="9" fillId="0" borderId="0" pivotButton="0" quotePrefix="0" xfId="0"/>
    <xf numFmtId="164" fontId="32" fillId="0" borderId="0" pivotButton="0" quotePrefix="0" xfId="0"/>
    <xf numFmtId="164" fontId="33" fillId="0" borderId="0" pivotButton="0" quotePrefix="0" xfId="0"/>
    <xf numFmtId="0" fontId="12" fillId="2" borderId="0" pivotButton="0" quotePrefix="0" xfId="0"/>
    <xf numFmtId="0" fontId="25" fillId="0" borderId="0" pivotButton="0" quotePrefix="0" xfId="0"/>
    <xf numFmtId="0" fontId="34" fillId="0" borderId="0" pivotButton="0" quotePrefix="0" xfId="0"/>
    <xf numFmtId="164" fontId="25" fillId="0" borderId="0" pivotButton="0" quotePrefix="0" xfId="0"/>
    <xf numFmtId="0" fontId="35" fillId="2" borderId="0" applyAlignment="1" pivotButton="0" quotePrefix="0" xfId="0">
      <alignment horizontal="center" vertical="center"/>
    </xf>
    <xf numFmtId="170" fontId="36" fillId="3" borderId="0" applyAlignment="1" pivotButton="0" quotePrefix="0" xfId="0">
      <alignment horizontal="center" vertical="center"/>
    </xf>
    <xf numFmtId="0" fontId="37" fillId="7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 vertical="center"/>
    </xf>
    <xf numFmtId="164" fontId="38" fillId="7" borderId="0" applyAlignment="1" pivotButton="0" quotePrefix="0" xfId="0">
      <alignment horizontal="center" vertical="center"/>
    </xf>
    <xf numFmtId="164" fontId="38" fillId="3" borderId="0" applyAlignment="1" pivotButton="0" quotePrefix="0" xfId="0">
      <alignment horizontal="center" vertical="center"/>
    </xf>
    <xf numFmtId="0" fontId="39" fillId="7" borderId="0" applyAlignment="1" pivotButton="0" quotePrefix="0" xfId="0">
      <alignment horizontal="center"/>
    </xf>
    <xf numFmtId="0" fontId="39" fillId="3" borderId="0" applyAlignment="1" pivotButton="0" quotePrefix="0" xfId="0">
      <alignment horizontal="center"/>
    </xf>
    <xf numFmtId="0" fontId="37" fillId="8" borderId="0" applyAlignment="1" pivotButton="0" quotePrefix="0" xfId="0">
      <alignment horizontal="center" vertical="center"/>
    </xf>
    <xf numFmtId="164" fontId="38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37" fillId="4" borderId="0" applyAlignment="1" pivotButton="0" quotePrefix="0" xfId="0">
      <alignment horizontal="center" vertical="center"/>
    </xf>
    <xf numFmtId="3" fontId="38" fillId="4" borderId="0" applyAlignment="1" pivotButton="0" quotePrefix="0" xfId="0">
      <alignment horizontal="center" vertical="center"/>
    </xf>
    <xf numFmtId="164" fontId="40" fillId="4" borderId="0" applyAlignment="1" pivotButton="0" quotePrefix="0" xfId="0">
      <alignment horizontal="center" vertical="center"/>
    </xf>
    <xf numFmtId="0" fontId="39" fillId="4" borderId="0" applyAlignment="1" pivotButton="0" quotePrefix="0" xfId="0">
      <alignment horizontal="center"/>
    </xf>
    <xf numFmtId="0" fontId="37" fillId="5" borderId="0" applyAlignment="1" pivotButton="0" quotePrefix="0" xfId="0">
      <alignment horizontal="center" vertical="center"/>
    </xf>
    <xf numFmtId="0" fontId="37" fillId="6" borderId="0" applyAlignment="1" pivotButton="0" quotePrefix="0" xfId="0">
      <alignment horizontal="center" vertical="center"/>
    </xf>
    <xf numFmtId="164" fontId="38" fillId="4" borderId="0" applyAlignment="1" pivotButton="0" quotePrefix="0" xfId="0">
      <alignment horizontal="center" vertical="center"/>
    </xf>
    <xf numFmtId="164" fontId="38" fillId="5" borderId="0" applyAlignment="1" pivotButton="0" quotePrefix="0" xfId="0">
      <alignment horizontal="center" vertical="center"/>
    </xf>
    <xf numFmtId="164" fontId="38" fillId="6" borderId="0" applyAlignment="1" pivotButton="0" quotePrefix="0" xfId="0">
      <alignment horizontal="center" vertical="center"/>
    </xf>
    <xf numFmtId="0" fontId="39" fillId="5" borderId="0" applyAlignment="1" pivotButton="0" quotePrefix="0" xfId="0">
      <alignment horizontal="center"/>
    </xf>
    <xf numFmtId="0" fontId="39" fillId="6" borderId="0" applyAlignment="1" pivotButton="0" quotePrefix="0" xfId="0">
      <alignment horizontal="center"/>
    </xf>
    <xf numFmtId="0" fontId="13" fillId="0" borderId="0" pivotButton="0" quotePrefix="0" xfId="0"/>
    <xf numFmtId="0" fontId="41" fillId="0" borderId="0" pivotButton="0" quotePrefix="0" xfId="0"/>
    <xf numFmtId="0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2</row>
      <rowOff>0</rowOff>
    </from>
    <ext cx="4572000" cy="1371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667000" cy="800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11</row>
      <rowOff>0</rowOff>
    </from>
    <ext cx="9334500" cy="3619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1:I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  <col width="18" customWidth="1" min="7" max="7"/>
    <col width="22" customWidth="1" min="8" max="8"/>
    <col width="22" customWidth="1" min="9" max="9"/>
  </cols>
  <sheetData>
    <row r="1" ht="22" customHeight="1"/>
    <row r="2" ht="22" customHeight="1"/>
    <row r="3" ht="22" customHeight="1"/>
    <row r="4" ht="22" customHeight="1"/>
    <row r="5" ht="22" customHeight="1"/>
    <row r="6" ht="22" customHeight="1"/>
    <row r="7" ht="22" customHeight="1"/>
    <row r="8" ht="22" customHeight="1"/>
    <row r="11" ht="42" customHeight="1">
      <c r="B11" s="1" t="inlineStr">
        <is>
          <t>REPOSITORIO DE PAGOS Y COBROS  ·  CONTROL FINANCIERO 360</t>
        </is>
      </c>
    </row>
    <row r="12" ht="22" customHeight="1">
      <c r="B12" s="2" t="inlineStr">
        <is>
          <t>Mes en curso: Mayo 2026  ·  Demo creado por ZENIA  ·  zeniapartners.com</t>
        </is>
      </c>
    </row>
    <row r="13">
      <c r="B13" s="3" t="inlineStr">
        <is>
          <t>Datos ficticios. Cliente, montos y movimientos inventados.</t>
        </is>
      </c>
    </row>
    <row r="16" ht="28" customHeight="1">
      <c r="B16" s="4" t="inlineStr">
        <is>
          <t>INDICE DE PESTAÑAS</t>
        </is>
      </c>
    </row>
    <row r="18" ht="26" customHeight="1">
      <c r="B18" s="5" t="inlineStr">
        <is>
          <t>Dashboard</t>
        </is>
      </c>
      <c r="D18" s="6" t="inlineStr">
        <is>
          <t>Buckets de cash, KPIs, alertas, top pagadores, cashflow visual</t>
        </is>
      </c>
    </row>
    <row r="19" ht="26" customHeight="1">
      <c r="B19" s="5" t="inlineStr">
        <is>
          <t>Transacciones</t>
        </is>
      </c>
      <c r="D19" s="6" t="inlineStr">
        <is>
          <t>Repositorio de movimientos. La asistente escribe aqui cada captura</t>
        </is>
      </c>
    </row>
    <row r="20" ht="26" customHeight="1">
      <c r="B20" s="5" t="inlineStr">
        <is>
          <t>Cashflow</t>
        </is>
      </c>
      <c r="D20" s="6" t="inlineStr">
        <is>
          <t>Detalle diario con grafico de saldo acumulado del mes</t>
        </is>
      </c>
    </row>
    <row r="21" ht="26" customHeight="1">
      <c r="B21" s="5" t="inlineStr">
        <is>
          <t>Deudas</t>
        </is>
      </c>
      <c r="D21" s="6" t="inlineStr">
        <is>
          <t>Prestamos por pagar, intereses mensuales, credito rotativo proveedor</t>
        </is>
      </c>
    </row>
    <row r="22" ht="26" customHeight="1">
      <c r="B22" s="5" t="inlineStr">
        <is>
          <t>KPIs</t>
        </is>
      </c>
      <c r="D22" s="6" t="inlineStr">
        <is>
          <t>Referencia tecnica de las formulas usadas</t>
        </is>
      </c>
    </row>
    <row r="26">
      <c r="B26" s="7" t="inlineStr">
        <is>
          <t>Asistente IA en WhatsApp  ·  Powered by Zenia Partners</t>
        </is>
      </c>
    </row>
  </sheetData>
  <mergeCells count="15">
    <mergeCell ref="B12:I12"/>
    <mergeCell ref="B13:I13"/>
    <mergeCell ref="D19:I19"/>
    <mergeCell ref="B21:C21"/>
    <mergeCell ref="B11:I11"/>
    <mergeCell ref="B19:C19"/>
    <mergeCell ref="B16:I16"/>
    <mergeCell ref="D18:I18"/>
    <mergeCell ref="B20:C20"/>
    <mergeCell ref="D22:I22"/>
    <mergeCell ref="B22:C22"/>
    <mergeCell ref="D20:I20"/>
    <mergeCell ref="B18:C18"/>
    <mergeCell ref="D21:I21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  <col width="18" customWidth="1" min="7" max="7"/>
    <col width="22" customWidth="1" min="8" max="8"/>
    <col width="22" customWidth="1" min="9" max="9"/>
  </cols>
  <sheetData>
    <row r="1" ht="32" customHeight="1"/>
    <row r="2" ht="32" customHeight="1">
      <c r="F2" s="8" t="inlineStr">
        <is>
          <t>DASHBOARD OPERATIVO</t>
        </is>
      </c>
    </row>
    <row r="3" ht="32" customHeight="1">
      <c r="F3" s="9" t="inlineStr">
        <is>
          <t>Mes en curso · Mayo 2026</t>
        </is>
      </c>
    </row>
    <row r="5">
      <c r="B5" s="10" t="inlineStr">
        <is>
          <t>SALDO INICIAL BANCO (editable):</t>
        </is>
      </c>
      <c r="E5" s="11" t="n">
        <v>35000</v>
      </c>
    </row>
    <row r="7" ht="22" customHeight="1">
      <c r="B7" s="12" t="inlineStr">
        <is>
          <t>EFECTIVO TRAZADO TOTAL</t>
        </is>
      </c>
    </row>
    <row r="8" ht="56" customHeight="1">
      <c r="B8" s="13">
        <f>C12+E12+G12</f>
        <v/>
      </c>
    </row>
    <row r="9">
      <c r="B9" s="7" t="inlineStr">
        <is>
          <t>Suma trazada: liquido en banco + capital en gandolas + cuentas por cobrar</t>
        </is>
      </c>
    </row>
    <row r="11" ht="22" customHeight="1">
      <c r="B11" s="14" t="inlineStr">
        <is>
          <t>EFECTIVO EN BANCO</t>
        </is>
      </c>
      <c r="D11" s="15" t="inlineStr">
        <is>
          <t>DINERO EN GANDOLAS</t>
        </is>
      </c>
      <c r="F11" s="16" t="inlineStr">
        <is>
          <t>CUENTAS POR COBRAR</t>
        </is>
      </c>
      <c r="H11" s="17" t="inlineStr">
        <is>
          <t>TOTAL TRAZADO</t>
        </is>
      </c>
    </row>
    <row r="12" ht="60" customHeight="1">
      <c r="B12" s="18">
        <f>E5+SUMIFS(Transacciones!D:D,Transacciones!E:E,"in")-SUMIFS(Transacciones!D:D,Transacciones!E:E,"out")-(SUMIFS(Transacciones!D:D,Transacciones!F:F,"entrega_gandola")-SUMIFS(Transacciones!D:D,Transacciones!F:F,"retorno_gandola"))-(SUMIFS(Transacciones!D:D,Transacciones!F:F,"venta_credito")-SUMIFS(Transacciones!D:D,Transacciones!F:F,"cobro_credito"))</f>
        <v/>
      </c>
      <c r="D12" s="19">
        <f>SUMIFS(Transacciones!D:D,Transacciones!F:F,"entrega_gandola")-SUMIFS(Transacciones!D:D,Transacciones!F:F,"retorno_gandola")</f>
        <v/>
      </c>
      <c r="F12" s="20">
        <f>SUMIFS(Transacciones!D:D,Transacciones!F:F,"venta_credito")-SUMIFS(Transacciones!D:D,Transacciones!F:F,"cobro_credito")</f>
        <v/>
      </c>
      <c r="H12" s="21">
        <f>C12+E12+G12</f>
        <v/>
      </c>
    </row>
    <row r="13" ht="18" customHeight="1">
      <c r="B13" s="22" t="inlineStr">
        <is>
          <t>Saldo liquido</t>
        </is>
      </c>
      <c r="D13" s="23" t="inlineStr">
        <is>
          <t>Capital en transito</t>
        </is>
      </c>
      <c r="F13" s="24" t="inlineStr">
        <is>
          <t>Pendiente de cobrar</t>
        </is>
      </c>
      <c r="H13" s="25" t="inlineStr">
        <is>
          <t>Suma de los 3</t>
        </is>
      </c>
    </row>
    <row r="15" ht="26" customHeight="1">
      <c r="B15" s="26" t="inlineStr">
        <is>
          <t>KPIs DEL PERIODO</t>
        </is>
      </c>
    </row>
    <row r="17" ht="22" customHeight="1">
      <c r="B17" s="17" t="inlineStr">
        <is>
          <t>INGRESOS COBRADOS</t>
        </is>
      </c>
      <c r="D17" s="27" t="inlineStr">
        <is>
          <t>GASTOS PAGADOS</t>
        </is>
      </c>
      <c r="F17" s="28" t="inlineStr">
        <is>
          <t>FLUJO NETO</t>
        </is>
      </c>
      <c r="H17" s="14" t="inlineStr">
        <is>
          <t>TICKET PROMEDIO</t>
        </is>
      </c>
    </row>
    <row r="18" ht="60" customHeight="1">
      <c r="B18" s="29">
        <f>SUMIFS(Transacciones!D:D,Transacciones!E:E,"in")</f>
        <v/>
      </c>
      <c r="D18" s="30">
        <f>SUMIFS(Transacciones!D:D,Transacciones!E:E,"out")</f>
        <v/>
      </c>
      <c r="F18" s="31">
        <f>C18-E18</f>
        <v/>
      </c>
      <c r="H18" s="32">
        <f>IFERROR(C18/COUNTIFS(Transacciones!E:E,"in"),0)</f>
        <v/>
      </c>
    </row>
    <row r="19" ht="18" customHeight="1">
      <c r="B19" s="25" t="inlineStr">
        <is>
          <t>Total in</t>
        </is>
      </c>
      <c r="D19" s="33" t="inlineStr">
        <is>
          <t>Total out</t>
        </is>
      </c>
      <c r="F19" s="34" t="inlineStr">
        <is>
          <t>Cashflow del periodo</t>
        </is>
      </c>
      <c r="H19" s="22" t="inlineStr">
        <is>
          <t>Por cobro</t>
        </is>
      </c>
    </row>
    <row r="21" ht="26" customHeight="1">
      <c r="B21" s="26" t="inlineStr">
        <is>
          <t>ALERTAS Y RESUMEN OPERATIVO</t>
        </is>
      </c>
    </row>
    <row r="23" ht="22" customHeight="1">
      <c r="B23" s="35" t="inlineStr">
        <is>
          <t>!  GANDOLAS ACTIVAS</t>
        </is>
      </c>
      <c r="E23" s="36" t="inlineStr">
        <is>
          <t>!  PROXIMO PAGO INTERES</t>
        </is>
      </c>
      <c r="G23" s="37" t="inlineStr">
        <is>
          <t>+  COBROS DEL PERIODO</t>
        </is>
      </c>
    </row>
    <row r="24" ht="50" customHeight="1">
      <c r="B24" s="38">
        <f>COUNTIFS(Transacciones!F:F,"entrega_gandola")-COUNTIFS(Transacciones!F:F,"retorno_gandola")</f>
        <v/>
      </c>
      <c r="E24" s="39" t="n">
        <v>1600</v>
      </c>
      <c r="G24" s="40">
        <f>COUNTIFS(Transacciones!E:E,"in")</f>
        <v/>
      </c>
    </row>
    <row r="25" ht="18" customHeight="1">
      <c r="B25" s="23" t="inlineStr">
        <is>
          <t>Capital en ruta sin cerrar</t>
        </is>
      </c>
      <c r="E25" s="33" t="inlineStr">
        <is>
          <t>Luis Mendoza · vence 28-MAY</t>
        </is>
      </c>
      <c r="G25" s="25" t="inlineStr">
        <is>
          <t>Pagos recibidos</t>
        </is>
      </c>
    </row>
    <row r="27" ht="26" customHeight="1">
      <c r="B27" s="26" t="inlineStr">
        <is>
          <t>TOP PAGADORES DEL PERIODO</t>
        </is>
      </c>
    </row>
    <row r="28">
      <c r="B28" s="41" t="inlineStr">
        <is>
          <t>Cliente</t>
        </is>
      </c>
      <c r="D28" s="41" t="inlineStr">
        <is>
          <t>Total Cobrado</t>
        </is>
      </c>
      <c r="F28" s="41" t="inlineStr">
        <is>
          <t># Pagos</t>
        </is>
      </c>
      <c r="H28" s="41" t="inlineStr">
        <is>
          <t>Ticket Promedio</t>
        </is>
      </c>
    </row>
    <row r="29">
      <c r="B29" s="42" t="inlineStr">
        <is>
          <t>Empresa XYZ</t>
        </is>
      </c>
      <c r="D29" s="43" t="n">
        <v>1700</v>
      </c>
      <c r="F29" s="44" t="n">
        <v>2</v>
      </c>
      <c r="H29" s="45" t="n">
        <v>850</v>
      </c>
    </row>
    <row r="30">
      <c r="B30" s="42" t="inlineStr">
        <is>
          <t>Lucia Ramirez</t>
        </is>
      </c>
      <c r="D30" s="43" t="n">
        <v>1300</v>
      </c>
      <c r="F30" s="44" t="n">
        <v>2</v>
      </c>
      <c r="H30" s="45" t="n">
        <v>650</v>
      </c>
    </row>
    <row r="31">
      <c r="B31" s="42" t="inlineStr">
        <is>
          <t>Carlos Perez</t>
        </is>
      </c>
      <c r="D31" s="43" t="n">
        <v>1200</v>
      </c>
      <c r="F31" s="44" t="n">
        <v>2</v>
      </c>
      <c r="H31" s="45" t="n">
        <v>600</v>
      </c>
    </row>
    <row r="32">
      <c r="B32" s="42" t="inlineStr">
        <is>
          <t>Pedro Lopez</t>
        </is>
      </c>
      <c r="D32" s="43" t="n">
        <v>800</v>
      </c>
      <c r="F32" s="44" t="n">
        <v>2</v>
      </c>
      <c r="H32" s="45" t="n">
        <v>400</v>
      </c>
    </row>
    <row r="33">
      <c r="B33" s="42" t="inlineStr">
        <is>
          <t>Carmona (cliente)</t>
        </is>
      </c>
      <c r="D33" s="43" t="n">
        <v>650</v>
      </c>
      <c r="F33" s="44" t="n">
        <v>1</v>
      </c>
      <c r="H33" s="45" t="n">
        <v>650</v>
      </c>
    </row>
    <row r="34">
      <c r="B34" s="42" t="inlineStr">
        <is>
          <t>Maria Gonzalez</t>
        </is>
      </c>
      <c r="D34" s="43" t="n">
        <v>500</v>
      </c>
      <c r="F34" s="44" t="n">
        <v>1</v>
      </c>
      <c r="H34" s="45" t="n">
        <v>500</v>
      </c>
    </row>
  </sheetData>
  <mergeCells count="42">
    <mergeCell ref="F11:G11"/>
    <mergeCell ref="B7:I7"/>
    <mergeCell ref="B23:D23"/>
    <mergeCell ref="D19:E19"/>
    <mergeCell ref="E24:F24"/>
    <mergeCell ref="F19:G19"/>
    <mergeCell ref="E23:F23"/>
    <mergeCell ref="B18:C18"/>
    <mergeCell ref="B27:I27"/>
    <mergeCell ref="B12:C12"/>
    <mergeCell ref="G24:I24"/>
    <mergeCell ref="F12:G12"/>
    <mergeCell ref="B21:I21"/>
    <mergeCell ref="B11:C11"/>
    <mergeCell ref="D11:E11"/>
    <mergeCell ref="D13:E13"/>
    <mergeCell ref="F18:G18"/>
    <mergeCell ref="B17:C17"/>
    <mergeCell ref="D17:E17"/>
    <mergeCell ref="B8:I8"/>
    <mergeCell ref="F17:G17"/>
    <mergeCell ref="B24:D24"/>
    <mergeCell ref="H17:I17"/>
    <mergeCell ref="B13:C13"/>
    <mergeCell ref="G25:I25"/>
    <mergeCell ref="H11:I11"/>
    <mergeCell ref="B5:D5"/>
    <mergeCell ref="F3:I3"/>
    <mergeCell ref="B19:C19"/>
    <mergeCell ref="H19:I19"/>
    <mergeCell ref="F13:G13"/>
    <mergeCell ref="D18:E18"/>
    <mergeCell ref="H13:I13"/>
    <mergeCell ref="B25:D25"/>
    <mergeCell ref="D12:E12"/>
    <mergeCell ref="B9:I9"/>
    <mergeCell ref="H12:I12"/>
    <mergeCell ref="B15:I15"/>
    <mergeCell ref="E25:F25"/>
    <mergeCell ref="F2:I2"/>
    <mergeCell ref="H18:I18"/>
    <mergeCell ref="G23:I2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2" customWidth="1" min="4" max="4"/>
    <col width="11" customWidth="1" min="5" max="5"/>
    <col width="22" customWidth="1" min="6" max="6"/>
    <col width="18" customWidth="1" min="7" max="7"/>
    <col width="12" customWidth="1" min="8" max="8"/>
    <col width="40" customWidth="1" min="9" max="9"/>
  </cols>
  <sheetData>
    <row r="1" ht="32" customHeight="1">
      <c r="A1" s="46" t="inlineStr">
        <is>
          <t>ID</t>
        </is>
      </c>
      <c r="B1" s="46" t="inlineStr">
        <is>
          <t>Fecha</t>
        </is>
      </c>
      <c r="C1" s="46" t="inlineStr">
        <is>
          <t>Nombre</t>
        </is>
      </c>
      <c r="D1" s="46" t="inlineStr">
        <is>
          <t>Monto</t>
        </is>
      </c>
      <c r="E1" s="46" t="inlineStr">
        <is>
          <t>Direccion</t>
        </is>
      </c>
      <c r="F1" s="46" t="inlineStr">
        <is>
          <t>Categoria</t>
        </is>
      </c>
      <c r="G1" s="46" t="inlineStr">
        <is>
          <t>Conf#</t>
        </is>
      </c>
      <c r="H1" s="46" t="inlineStr">
        <is>
          <t>Estado</t>
        </is>
      </c>
      <c r="I1" s="46" t="inlineStr">
        <is>
          <t>Notas</t>
        </is>
      </c>
    </row>
    <row r="2">
      <c r="A2" s="47" t="inlineStr">
        <is>
          <t>D-001</t>
        </is>
      </c>
      <c r="B2" s="47" t="inlineStr">
        <is>
          <t>2026-05-04</t>
        </is>
      </c>
      <c r="C2" s="47" t="inlineStr">
        <is>
          <t>Maria Gonzalez</t>
        </is>
      </c>
      <c r="D2" s="48" t="n">
        <v>500</v>
      </c>
      <c r="E2" s="49" t="inlineStr">
        <is>
          <t>in</t>
        </is>
      </c>
      <c r="F2" s="47" t="inlineStr">
        <is>
          <t>cobro_cliente</t>
        </is>
      </c>
      <c r="G2" s="47" t="inlineStr">
        <is>
          <t>ABC123XYZ</t>
        </is>
      </c>
      <c r="H2" s="47" t="inlineStr">
        <is>
          <t>completed</t>
        </is>
      </c>
      <c r="I2" s="47" t="inlineStr">
        <is>
          <t>Pago anticipo orden #4421</t>
        </is>
      </c>
    </row>
    <row r="3">
      <c r="A3" s="50" t="inlineStr">
        <is>
          <t>D-002</t>
        </is>
      </c>
      <c r="B3" s="50" t="inlineStr">
        <is>
          <t>2026-05-03</t>
        </is>
      </c>
      <c r="C3" s="50" t="inlineStr">
        <is>
          <t>Carlos Perez</t>
        </is>
      </c>
      <c r="D3" s="51" t="n">
        <v>700</v>
      </c>
      <c r="E3" s="52" t="inlineStr">
        <is>
          <t>in</t>
        </is>
      </c>
      <c r="F3" s="50" t="inlineStr">
        <is>
          <t>cobro_cliente</t>
        </is>
      </c>
      <c r="G3" s="50" t="inlineStr">
        <is>
          <t>XYZ789DEF</t>
        </is>
      </c>
      <c r="H3" s="50" t="inlineStr">
        <is>
          <t>completed</t>
        </is>
      </c>
      <c r="I3" s="50" t="inlineStr">
        <is>
          <t>Pago final pedido botellas</t>
        </is>
      </c>
    </row>
    <row r="4">
      <c r="A4" s="47" t="inlineStr">
        <is>
          <t>D-003</t>
        </is>
      </c>
      <c r="B4" s="47" t="inlineStr">
        <is>
          <t>2026-05-03</t>
        </is>
      </c>
      <c r="C4" s="47" t="inlineStr">
        <is>
          <t>Empresa XYZ</t>
        </is>
      </c>
      <c r="D4" s="48" t="n">
        <v>850</v>
      </c>
      <c r="E4" s="49" t="inlineStr">
        <is>
          <t>in</t>
        </is>
      </c>
      <c r="F4" s="47" t="inlineStr">
        <is>
          <t>cobro_cliente</t>
        </is>
      </c>
      <c r="G4" s="47" t="inlineStr">
        <is>
          <t>QWE456RTY</t>
        </is>
      </c>
      <c r="H4" s="47" t="inlineStr">
        <is>
          <t>completed</t>
        </is>
      </c>
      <c r="I4" s="47" t="inlineStr">
        <is>
          <t>Pago factura mayo</t>
        </is>
      </c>
    </row>
    <row r="5">
      <c r="A5" s="50" t="inlineStr">
        <is>
          <t>D-004</t>
        </is>
      </c>
      <c r="B5" s="50" t="inlineStr">
        <is>
          <t>2026-05-03</t>
        </is>
      </c>
      <c r="C5" s="50" t="inlineStr">
        <is>
          <t>Olivar Andaluz S.L.</t>
        </is>
      </c>
      <c r="D5" s="51" t="n">
        <v>3500</v>
      </c>
      <c r="E5" s="53" t="inlineStr">
        <is>
          <t>out</t>
        </is>
      </c>
      <c r="F5" s="50" t="inlineStr">
        <is>
          <t>pago_proveedor</t>
        </is>
      </c>
      <c r="G5" s="50" t="inlineStr">
        <is>
          <t>WT26050301</t>
        </is>
      </c>
      <c r="H5" s="50" t="inlineStr">
        <is>
          <t>completed</t>
        </is>
      </c>
      <c r="I5" s="50" t="inlineStr">
        <is>
          <t>Pago proveedor aceite Espana</t>
        </is>
      </c>
    </row>
    <row r="6">
      <c r="A6" s="47" t="inlineStr">
        <is>
          <t>D-005</t>
        </is>
      </c>
      <c r="B6" s="47" t="inlineStr">
        <is>
          <t>2026-05-02</t>
        </is>
      </c>
      <c r="C6" s="47" t="inlineStr">
        <is>
          <t>Carlos Perez</t>
        </is>
      </c>
      <c r="D6" s="48" t="n">
        <v>500</v>
      </c>
      <c r="E6" s="49" t="inlineStr">
        <is>
          <t>in</t>
        </is>
      </c>
      <c r="F6" s="47" t="inlineStr">
        <is>
          <t>cobro_cliente</t>
        </is>
      </c>
      <c r="G6" s="47" t="inlineStr">
        <is>
          <t>MNB789POI</t>
        </is>
      </c>
      <c r="H6" s="47" t="inlineStr">
        <is>
          <t>completed</t>
        </is>
      </c>
      <c r="I6" s="47" t="inlineStr">
        <is>
          <t>Anticipo pedido grande</t>
        </is>
      </c>
    </row>
    <row r="7">
      <c r="A7" s="50" t="inlineStr">
        <is>
          <t>D-006</t>
        </is>
      </c>
      <c r="B7" s="50" t="inlineStr">
        <is>
          <t>2026-05-02</t>
        </is>
      </c>
      <c r="C7" s="50" t="inlineStr">
        <is>
          <t>Lucia Ramirez</t>
        </is>
      </c>
      <c r="D7" s="51" t="n">
        <v>650</v>
      </c>
      <c r="E7" s="52" t="inlineStr">
        <is>
          <t>in</t>
        </is>
      </c>
      <c r="F7" s="50" t="inlineStr">
        <is>
          <t>cobro_cliente</t>
        </is>
      </c>
      <c r="G7" s="50" t="inlineStr">
        <is>
          <t>ZXC123ASD</t>
        </is>
      </c>
      <c r="H7" s="50" t="inlineStr">
        <is>
          <t>completed</t>
        </is>
      </c>
      <c r="I7" s="50" t="inlineStr">
        <is>
          <t>Pago semanal restaurante</t>
        </is>
      </c>
    </row>
    <row r="8">
      <c r="A8" s="47" t="inlineStr">
        <is>
          <t>D-007</t>
        </is>
      </c>
      <c r="B8" s="47" t="inlineStr">
        <is>
          <t>2026-05-02</t>
        </is>
      </c>
      <c r="C8" s="47" t="inlineStr">
        <is>
          <t>Empacadora Industrial</t>
        </is>
      </c>
      <c r="D8" s="48" t="n">
        <v>1200</v>
      </c>
      <c r="E8" s="54" t="inlineStr">
        <is>
          <t>out</t>
        </is>
      </c>
      <c r="F8" s="47" t="inlineStr">
        <is>
          <t>pago_proveedor</t>
        </is>
      </c>
      <c r="G8" s="47" t="inlineStr">
        <is>
          <t>WT26050202</t>
        </is>
      </c>
      <c r="H8" s="47" t="inlineStr">
        <is>
          <t>completed</t>
        </is>
      </c>
      <c r="I8" s="47" t="inlineStr">
        <is>
          <t>Pago envases / etiquetas</t>
        </is>
      </c>
    </row>
    <row r="9">
      <c r="A9" s="50" t="inlineStr">
        <is>
          <t>D-008</t>
        </is>
      </c>
      <c r="B9" s="50" t="inlineStr">
        <is>
          <t>2026-05-01</t>
        </is>
      </c>
      <c r="C9" s="50" t="inlineStr">
        <is>
          <t>Gandola Beleva</t>
        </is>
      </c>
      <c r="D9" s="51" t="n">
        <v>5000</v>
      </c>
      <c r="E9" s="53" t="inlineStr">
        <is>
          <t>out</t>
        </is>
      </c>
      <c r="F9" s="50" t="inlineStr">
        <is>
          <t>entrega_gandola</t>
        </is>
      </c>
      <c r="G9" s="50" t="inlineStr"/>
      <c r="H9" s="50" t="inlineStr">
        <is>
          <t>completed</t>
        </is>
      </c>
      <c r="I9" s="50" t="inlineStr">
        <is>
          <t>Capital viaje Caracas</t>
        </is>
      </c>
    </row>
    <row r="10">
      <c r="A10" s="47" t="inlineStr">
        <is>
          <t>D-009</t>
        </is>
      </c>
      <c r="B10" s="47" t="inlineStr">
        <is>
          <t>2026-05-01</t>
        </is>
      </c>
      <c r="C10" s="47" t="inlineStr">
        <is>
          <t>Pedro Lopez</t>
        </is>
      </c>
      <c r="D10" s="48" t="n">
        <v>400</v>
      </c>
      <c r="E10" s="49" t="inlineStr">
        <is>
          <t>in</t>
        </is>
      </c>
      <c r="F10" s="47" t="inlineStr">
        <is>
          <t>cobro_cliente</t>
        </is>
      </c>
      <c r="G10" s="47" t="inlineStr">
        <is>
          <t>WER567TYU</t>
        </is>
      </c>
      <c r="H10" s="47" t="inlineStr">
        <is>
          <t>completed</t>
        </is>
      </c>
      <c r="I10" s="47" t="inlineStr">
        <is>
          <t>Pago tienda esquina</t>
        </is>
      </c>
    </row>
    <row r="11">
      <c r="A11" s="50" t="inlineStr">
        <is>
          <t>D-010</t>
        </is>
      </c>
      <c r="B11" s="50" t="inlineStr">
        <is>
          <t>2026-04-30</t>
        </is>
      </c>
      <c r="C11" s="50" t="inlineStr">
        <is>
          <t>Juan Rodriguez</t>
        </is>
      </c>
      <c r="D11" s="51" t="n">
        <v>800</v>
      </c>
      <c r="E11" s="53" t="inlineStr">
        <is>
          <t>out</t>
        </is>
      </c>
      <c r="F11" s="50" t="inlineStr">
        <is>
          <t>venta_credito</t>
        </is>
      </c>
      <c r="G11" s="50" t="inlineStr"/>
      <c r="H11" s="50" t="inlineStr">
        <is>
          <t>completed</t>
        </is>
      </c>
      <c r="I11" s="50" t="inlineStr">
        <is>
          <t>Mercancia paga el 15 de mayo</t>
        </is>
      </c>
    </row>
    <row r="12">
      <c r="A12" s="47" t="inlineStr">
        <is>
          <t>D-011</t>
        </is>
      </c>
      <c r="B12" s="47" t="inlineStr">
        <is>
          <t>2026-04-30</t>
        </is>
      </c>
      <c r="C12" s="47" t="inlineStr">
        <is>
          <t>Planilla Equipo</t>
        </is>
      </c>
      <c r="D12" s="48" t="n">
        <v>2500</v>
      </c>
      <c r="E12" s="54" t="inlineStr">
        <is>
          <t>out</t>
        </is>
      </c>
      <c r="F12" s="47" t="inlineStr">
        <is>
          <t>planilla</t>
        </is>
      </c>
      <c r="G12" s="47" t="inlineStr"/>
      <c r="H12" s="47" t="inlineStr">
        <is>
          <t>completed</t>
        </is>
      </c>
      <c r="I12" s="47" t="inlineStr">
        <is>
          <t>Quincena fin abril</t>
        </is>
      </c>
    </row>
    <row r="13">
      <c r="A13" s="50" t="inlineStr">
        <is>
          <t>D-012</t>
        </is>
      </c>
      <c r="B13" s="50" t="inlineStr">
        <is>
          <t>2026-04-29</t>
        </is>
      </c>
      <c r="C13" s="50" t="inlineStr">
        <is>
          <t>Aduana DAE</t>
        </is>
      </c>
      <c r="D13" s="51" t="n">
        <v>1350</v>
      </c>
      <c r="E13" s="53" t="inlineStr">
        <is>
          <t>out</t>
        </is>
      </c>
      <c r="F13" s="50" t="inlineStr">
        <is>
          <t>impuesto_gandola</t>
        </is>
      </c>
      <c r="G13" s="50" t="inlineStr"/>
      <c r="H13" s="50" t="inlineStr">
        <is>
          <t>completed</t>
        </is>
      </c>
      <c r="I13" s="50" t="inlineStr">
        <is>
          <t>Permiso ingreso Venezuela</t>
        </is>
      </c>
    </row>
    <row r="14">
      <c r="A14" s="47" t="inlineStr">
        <is>
          <t>D-013</t>
        </is>
      </c>
      <c r="B14" s="47" t="inlineStr">
        <is>
          <t>2026-04-29</t>
        </is>
      </c>
      <c r="C14" s="47" t="inlineStr">
        <is>
          <t>Pedro Ramos</t>
        </is>
      </c>
      <c r="D14" s="48" t="n">
        <v>5000</v>
      </c>
      <c r="E14" s="54" t="inlineStr">
        <is>
          <t>out</t>
        </is>
      </c>
      <c r="F14" s="47" t="inlineStr">
        <is>
          <t>pago_deuda_capital</t>
        </is>
      </c>
      <c r="G14" s="47" t="inlineStr">
        <is>
          <t>WT26042901</t>
        </is>
      </c>
      <c r="H14" s="47" t="inlineStr">
        <is>
          <t>completed</t>
        </is>
      </c>
      <c r="I14" s="47" t="inlineStr">
        <is>
          <t>Abono a capital prestamo (capital baja a $45K)</t>
        </is>
      </c>
    </row>
    <row r="15">
      <c r="A15" s="50" t="inlineStr">
        <is>
          <t>D-014</t>
        </is>
      </c>
      <c r="B15" s="50" t="inlineStr">
        <is>
          <t>2026-04-28</t>
        </is>
      </c>
      <c r="C15" s="50" t="inlineStr">
        <is>
          <t>Luis Mendoza</t>
        </is>
      </c>
      <c r="D15" s="51" t="n">
        <v>1600</v>
      </c>
      <c r="E15" s="53" t="inlineStr">
        <is>
          <t>out</t>
        </is>
      </c>
      <c r="F15" s="50" t="inlineStr">
        <is>
          <t>pago_deuda_interes</t>
        </is>
      </c>
      <c r="G15" s="50" t="inlineStr"/>
      <c r="H15" s="50" t="inlineStr">
        <is>
          <t>completed</t>
        </is>
      </c>
      <c r="I15" s="50" t="inlineStr">
        <is>
          <t>Interes mensual abril (4%)</t>
        </is>
      </c>
    </row>
    <row r="16">
      <c r="A16" s="47" t="inlineStr">
        <is>
          <t>D-015</t>
        </is>
      </c>
      <c r="B16" s="47" t="inlineStr">
        <is>
          <t>2026-04-28</t>
        </is>
      </c>
      <c r="C16" s="47" t="inlineStr">
        <is>
          <t>Pedro Ramos</t>
        </is>
      </c>
      <c r="D16" s="48" t="n">
        <v>2500</v>
      </c>
      <c r="E16" s="54" t="inlineStr">
        <is>
          <t>out</t>
        </is>
      </c>
      <c r="F16" s="47" t="inlineStr">
        <is>
          <t>pago_deuda_interes</t>
        </is>
      </c>
      <c r="G16" s="47" t="inlineStr"/>
      <c r="H16" s="47" t="inlineStr">
        <is>
          <t>completed</t>
        </is>
      </c>
      <c r="I16" s="47" t="inlineStr">
        <is>
          <t>Interes mensual abril (5%)</t>
        </is>
      </c>
    </row>
    <row r="17">
      <c r="A17" s="50" t="inlineStr">
        <is>
          <t>D-016</t>
        </is>
      </c>
      <c r="B17" s="50" t="inlineStr">
        <is>
          <t>2026-04-27</t>
        </is>
      </c>
      <c r="C17" s="50" t="inlineStr">
        <is>
          <t>Logistica Andes</t>
        </is>
      </c>
      <c r="D17" s="51" t="n">
        <v>2800</v>
      </c>
      <c r="E17" s="53" t="inlineStr">
        <is>
          <t>out</t>
        </is>
      </c>
      <c r="F17" s="50" t="inlineStr">
        <is>
          <t>gasto_logistica</t>
        </is>
      </c>
      <c r="G17" s="50" t="inlineStr">
        <is>
          <t>WT26042701</t>
        </is>
      </c>
      <c r="H17" s="50" t="inlineStr">
        <is>
          <t>completed</t>
        </is>
      </c>
      <c r="I17" s="50" t="inlineStr">
        <is>
          <t>Flete contenedor #C-2204</t>
        </is>
      </c>
    </row>
    <row r="18">
      <c r="A18" s="47" t="inlineStr">
        <is>
          <t>D-017</t>
        </is>
      </c>
      <c r="B18" s="47" t="inlineStr">
        <is>
          <t>2026-04-26</t>
        </is>
      </c>
      <c r="C18" s="47" t="inlineStr">
        <is>
          <t>Gandola Beleva</t>
        </is>
      </c>
      <c r="D18" s="48" t="n">
        <v>4200</v>
      </c>
      <c r="E18" s="49" t="inlineStr">
        <is>
          <t>in</t>
        </is>
      </c>
      <c r="F18" s="47" t="inlineStr">
        <is>
          <t>retorno_gandola</t>
        </is>
      </c>
      <c r="G18" s="47" t="inlineStr"/>
      <c r="H18" s="47" t="inlineStr">
        <is>
          <t>completed</t>
        </is>
      </c>
      <c r="I18" s="47" t="inlineStr">
        <is>
          <t>Cierre viaje Caracas - efectivo</t>
        </is>
      </c>
    </row>
    <row r="19">
      <c r="A19" s="50" t="inlineStr">
        <is>
          <t>D-018</t>
        </is>
      </c>
      <c r="B19" s="50" t="inlineStr">
        <is>
          <t>2026-04-25</t>
        </is>
      </c>
      <c r="C19" s="50" t="inlineStr">
        <is>
          <t>Viaticos chofer</t>
        </is>
      </c>
      <c r="D19" s="51" t="n">
        <v>320</v>
      </c>
      <c r="E19" s="53" t="inlineStr">
        <is>
          <t>out</t>
        </is>
      </c>
      <c r="F19" s="50" t="inlineStr">
        <is>
          <t>viaticos</t>
        </is>
      </c>
      <c r="G19" s="50" t="inlineStr"/>
      <c r="H19" s="50" t="inlineStr">
        <is>
          <t>completed</t>
        </is>
      </c>
      <c r="I19" s="50" t="inlineStr">
        <is>
          <t>Comida + peajes Caracas</t>
        </is>
      </c>
    </row>
    <row r="20">
      <c r="A20" s="47" t="inlineStr">
        <is>
          <t>D-019</t>
        </is>
      </c>
      <c r="B20" s="47" t="inlineStr">
        <is>
          <t>2026-04-25</t>
        </is>
      </c>
      <c r="C20" s="47" t="inlineStr">
        <is>
          <t>Lucia Ramirez</t>
        </is>
      </c>
      <c r="D20" s="48" t="n">
        <v>650</v>
      </c>
      <c r="E20" s="49" t="inlineStr">
        <is>
          <t>in</t>
        </is>
      </c>
      <c r="F20" s="47" t="inlineStr">
        <is>
          <t>cobro_cliente</t>
        </is>
      </c>
      <c r="G20" s="47" t="inlineStr">
        <is>
          <t>POI234UYT</t>
        </is>
      </c>
      <c r="H20" s="47" t="inlineStr">
        <is>
          <t>completed</t>
        </is>
      </c>
      <c r="I20" s="47" t="inlineStr">
        <is>
          <t>Pago semanal restaurante</t>
        </is>
      </c>
    </row>
    <row r="21">
      <c r="A21" s="50" t="inlineStr">
        <is>
          <t>D-020</t>
        </is>
      </c>
      <c r="B21" s="50" t="inlineStr">
        <is>
          <t>2026-04-24</t>
        </is>
      </c>
      <c r="C21" s="50" t="inlineStr">
        <is>
          <t>Empresa XYZ</t>
        </is>
      </c>
      <c r="D21" s="51" t="n">
        <v>850</v>
      </c>
      <c r="E21" s="52" t="inlineStr">
        <is>
          <t>in</t>
        </is>
      </c>
      <c r="F21" s="50" t="inlineStr">
        <is>
          <t>cobro_cliente</t>
        </is>
      </c>
      <c r="G21" s="50" t="inlineStr">
        <is>
          <t>LKJ567HGF</t>
        </is>
      </c>
      <c r="H21" s="50" t="inlineStr">
        <is>
          <t>completed</t>
        </is>
      </c>
      <c r="I21" s="50" t="inlineStr">
        <is>
          <t>Pago factura abril</t>
        </is>
      </c>
    </row>
    <row r="22">
      <c r="A22" s="47" t="inlineStr">
        <is>
          <t>D-021</t>
        </is>
      </c>
      <c r="B22" s="47" t="inlineStr">
        <is>
          <t>2026-04-24</t>
        </is>
      </c>
      <c r="C22" s="47" t="inlineStr">
        <is>
          <t>Almacen Doral</t>
        </is>
      </c>
      <c r="D22" s="48" t="n">
        <v>780</v>
      </c>
      <c r="E22" s="54" t="inlineStr">
        <is>
          <t>out</t>
        </is>
      </c>
      <c r="F22" s="47" t="inlineStr">
        <is>
          <t>alquiler</t>
        </is>
      </c>
      <c r="G22" s="47" t="inlineStr"/>
      <c r="H22" s="47" t="inlineStr">
        <is>
          <t>completed</t>
        </is>
      </c>
      <c r="I22" s="47" t="inlineStr">
        <is>
          <t>Renta mayo galpon</t>
        </is>
      </c>
    </row>
    <row r="23">
      <c r="A23" s="50" t="inlineStr">
        <is>
          <t>D-022</t>
        </is>
      </c>
      <c r="B23" s="50" t="inlineStr">
        <is>
          <t>2026-04-23</t>
        </is>
      </c>
      <c r="C23" s="50" t="inlineStr">
        <is>
          <t>Pedro Lopez</t>
        </is>
      </c>
      <c r="D23" s="51" t="n">
        <v>400</v>
      </c>
      <c r="E23" s="52" t="inlineStr">
        <is>
          <t>in</t>
        </is>
      </c>
      <c r="F23" s="50" t="inlineStr">
        <is>
          <t>cobro_cliente</t>
        </is>
      </c>
      <c r="G23" s="50" t="inlineStr">
        <is>
          <t>MNB456VCX</t>
        </is>
      </c>
      <c r="H23" s="50" t="inlineStr">
        <is>
          <t>completed</t>
        </is>
      </c>
      <c r="I23" s="50" t="inlineStr">
        <is>
          <t>Pago semanal</t>
        </is>
      </c>
    </row>
    <row r="24">
      <c r="A24" s="47" t="inlineStr">
        <is>
          <t>D-023</t>
        </is>
      </c>
      <c r="B24" s="47" t="inlineStr">
        <is>
          <t>2026-04-23</t>
        </is>
      </c>
      <c r="C24" s="47" t="inlineStr">
        <is>
          <t>Botellas Premium S.A.</t>
        </is>
      </c>
      <c r="D24" s="48" t="n">
        <v>1850</v>
      </c>
      <c r="E24" s="54" t="inlineStr">
        <is>
          <t>out</t>
        </is>
      </c>
      <c r="F24" s="47" t="inlineStr">
        <is>
          <t>pago_proveedor</t>
        </is>
      </c>
      <c r="G24" s="47" t="inlineStr">
        <is>
          <t>WT26042302</t>
        </is>
      </c>
      <c r="H24" s="47" t="inlineStr">
        <is>
          <t>completed</t>
        </is>
      </c>
      <c r="I24" s="47" t="inlineStr">
        <is>
          <t>Pago vidrio 1L (5,000 botellas)</t>
        </is>
      </c>
    </row>
    <row r="25">
      <c r="A25" s="50" t="inlineStr">
        <is>
          <t>D-024</t>
        </is>
      </c>
      <c r="B25" s="50" t="inlineStr">
        <is>
          <t>2026-04-22</t>
        </is>
      </c>
      <c r="C25" s="50" t="inlineStr">
        <is>
          <t>Restaurante Lima</t>
        </is>
      </c>
      <c r="D25" s="51" t="n">
        <v>450</v>
      </c>
      <c r="E25" s="52" t="inlineStr">
        <is>
          <t>in</t>
        </is>
      </c>
      <c r="F25" s="50" t="inlineStr">
        <is>
          <t>cobro_cliente</t>
        </is>
      </c>
      <c r="G25" s="50" t="inlineStr">
        <is>
          <t>QAZ123WSX</t>
        </is>
      </c>
      <c r="H25" s="50" t="inlineStr">
        <is>
          <t>completed</t>
        </is>
      </c>
      <c r="I25" s="50" t="inlineStr">
        <is>
          <t>Pago primera caja</t>
        </is>
      </c>
    </row>
    <row r="26">
      <c r="A26" s="47" t="inlineStr">
        <is>
          <t>D-025</t>
        </is>
      </c>
      <c r="B26" s="47" t="inlineStr">
        <is>
          <t>2026-04-22</t>
        </is>
      </c>
      <c r="C26" s="47" t="inlineStr">
        <is>
          <t>Combustible flota</t>
        </is>
      </c>
      <c r="D26" s="48" t="n">
        <v>240</v>
      </c>
      <c r="E26" s="54" t="inlineStr">
        <is>
          <t>out</t>
        </is>
      </c>
      <c r="F26" s="47" t="inlineStr">
        <is>
          <t>combustible</t>
        </is>
      </c>
      <c r="G26" s="47" t="inlineStr"/>
      <c r="H26" s="47" t="inlineStr">
        <is>
          <t>completed</t>
        </is>
      </c>
      <c r="I26" s="47" t="inlineStr">
        <is>
          <t>Gasolina 2 furgonetas</t>
        </is>
      </c>
    </row>
    <row r="27">
      <c r="A27" s="50" t="inlineStr">
        <is>
          <t>D-026</t>
        </is>
      </c>
      <c r="B27" s="50" t="inlineStr">
        <is>
          <t>2026-04-21</t>
        </is>
      </c>
      <c r="C27" s="50" t="inlineStr">
        <is>
          <t>Gandola Beleva</t>
        </is>
      </c>
      <c r="D27" s="51" t="n">
        <v>4500</v>
      </c>
      <c r="E27" s="53" t="inlineStr">
        <is>
          <t>out</t>
        </is>
      </c>
      <c r="F27" s="50" t="inlineStr">
        <is>
          <t>entrega_gandola</t>
        </is>
      </c>
      <c r="G27" s="50" t="inlineStr"/>
      <c r="H27" s="50" t="inlineStr">
        <is>
          <t>completed</t>
        </is>
      </c>
      <c r="I27" s="50" t="inlineStr">
        <is>
          <t>Capital nuevo viaje Maracaibo</t>
        </is>
      </c>
    </row>
    <row r="28">
      <c r="A28" s="47" t="inlineStr">
        <is>
          <t>D-027</t>
        </is>
      </c>
      <c r="B28" s="47" t="inlineStr">
        <is>
          <t>2026-04-20</t>
        </is>
      </c>
      <c r="C28" s="47" t="inlineStr">
        <is>
          <t>Asesoria Contable</t>
        </is>
      </c>
      <c r="D28" s="48" t="n">
        <v>480</v>
      </c>
      <c r="E28" s="54" t="inlineStr">
        <is>
          <t>out</t>
        </is>
      </c>
      <c r="F28" s="47" t="inlineStr">
        <is>
          <t>honorarios</t>
        </is>
      </c>
      <c r="G28" s="47" t="inlineStr"/>
      <c r="H28" s="47" t="inlineStr">
        <is>
          <t>completed</t>
        </is>
      </c>
      <c r="I28" s="47" t="inlineStr">
        <is>
          <t>Honorarios mensuales</t>
        </is>
      </c>
    </row>
    <row r="29">
      <c r="A29" s="50" t="inlineStr">
        <is>
          <t>D-028</t>
        </is>
      </c>
      <c r="B29" s="50" t="inlineStr">
        <is>
          <t>2026-04-20</t>
        </is>
      </c>
      <c r="C29" s="50" t="inlineStr">
        <is>
          <t>Pedro Ramos</t>
        </is>
      </c>
      <c r="D29" s="51" t="n">
        <v>2500</v>
      </c>
      <c r="E29" s="53" t="inlineStr">
        <is>
          <t>out</t>
        </is>
      </c>
      <c r="F29" s="50" t="inlineStr">
        <is>
          <t>pago_deuda_interes</t>
        </is>
      </c>
      <c r="G29" s="50" t="inlineStr"/>
      <c r="H29" s="50" t="inlineStr">
        <is>
          <t>completed</t>
        </is>
      </c>
      <c r="I29" s="50" t="inlineStr">
        <is>
          <t>Interes mensual marzo (5%) atrasado</t>
        </is>
      </c>
    </row>
    <row r="30">
      <c r="A30" s="47" t="inlineStr">
        <is>
          <t>D-029</t>
        </is>
      </c>
      <c r="B30" s="47" t="inlineStr">
        <is>
          <t>2026-04-19</t>
        </is>
      </c>
      <c r="C30" s="47" t="inlineStr">
        <is>
          <t>Carmona (cliente)</t>
        </is>
      </c>
      <c r="D30" s="48" t="n">
        <v>650</v>
      </c>
      <c r="E30" s="49" t="inlineStr">
        <is>
          <t>in</t>
        </is>
      </c>
      <c r="F30" s="47" t="inlineStr">
        <is>
          <t>cobro_credito</t>
        </is>
      </c>
      <c r="G30" s="47" t="inlineStr">
        <is>
          <t>VBN234ZAQ</t>
        </is>
      </c>
      <c r="H30" s="47" t="inlineStr">
        <is>
          <t>completed</t>
        </is>
      </c>
      <c r="I30" s="47" t="inlineStr">
        <is>
          <t>Cancela mercancia entregada el 5 abr</t>
        </is>
      </c>
    </row>
    <row r="31">
      <c r="A31" s="50" t="inlineStr">
        <is>
          <t>D-030</t>
        </is>
      </c>
      <c r="B31" s="50" t="inlineStr">
        <is>
          <t>2026-04-18</t>
        </is>
      </c>
      <c r="C31" s="50" t="inlineStr">
        <is>
          <t>Telefonia movil</t>
        </is>
      </c>
      <c r="D31" s="51" t="n">
        <v>85</v>
      </c>
      <c r="E31" s="53" t="inlineStr">
        <is>
          <t>out</t>
        </is>
      </c>
      <c r="F31" s="50" t="inlineStr">
        <is>
          <t>servicios</t>
        </is>
      </c>
      <c r="G31" s="50" t="inlineStr"/>
      <c r="H31" s="50" t="inlineStr">
        <is>
          <t>completed</t>
        </is>
      </c>
      <c r="I31" s="50" t="inlineStr">
        <is>
          <t>Plan business Verizon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4" customWidth="1" min="20" max="20"/>
  </cols>
  <sheetData>
    <row r="2" ht="38" customHeight="1">
      <c r="B2" s="55" t="inlineStr">
        <is>
          <t>CASHFLOW DIARIO  ·  Mayo 2026</t>
        </is>
      </c>
    </row>
    <row r="3">
      <c r="B3" s="56" t="inlineStr">
        <is>
          <t>Movimientos consolidados por fecha. Filas: Ingresos / Gastos / Flujo Neto / Saldo Acumulado.</t>
        </is>
      </c>
      <c r="R3" s="57" t="inlineStr">
        <is>
          <t>Saldo inicial (Dashboard!E5):</t>
        </is>
      </c>
      <c r="U3" s="58">
        <f>Dashboard!E5</f>
        <v/>
      </c>
    </row>
    <row r="5" ht="32" customHeight="1">
      <c r="B5" s="12" t="inlineStr">
        <is>
          <t>Concepto</t>
        </is>
      </c>
      <c r="C5" s="59" t="inlineStr">
        <is>
          <t>18-Apr</t>
        </is>
      </c>
      <c r="D5" s="59" t="inlineStr">
        <is>
          <t>19-Apr</t>
        </is>
      </c>
      <c r="E5" s="59" t="inlineStr">
        <is>
          <t>20-Apr</t>
        </is>
      </c>
      <c r="F5" s="59" t="inlineStr">
        <is>
          <t>21-Apr</t>
        </is>
      </c>
      <c r="G5" s="59" t="inlineStr">
        <is>
          <t>22-Apr</t>
        </is>
      </c>
      <c r="H5" s="59" t="inlineStr">
        <is>
          <t>23-Apr</t>
        </is>
      </c>
      <c r="I5" s="59" t="inlineStr">
        <is>
          <t>24-Apr</t>
        </is>
      </c>
      <c r="J5" s="59" t="inlineStr">
        <is>
          <t>25-Apr</t>
        </is>
      </c>
      <c r="K5" s="59" t="inlineStr">
        <is>
          <t>26-Apr</t>
        </is>
      </c>
      <c r="L5" s="59" t="inlineStr">
        <is>
          <t>27-Apr</t>
        </is>
      </c>
      <c r="M5" s="59" t="inlineStr">
        <is>
          <t>28-Apr</t>
        </is>
      </c>
      <c r="N5" s="59" t="inlineStr">
        <is>
          <t>29-Apr</t>
        </is>
      </c>
      <c r="O5" s="59" t="inlineStr">
        <is>
          <t>30-Apr</t>
        </is>
      </c>
      <c r="P5" s="59" t="inlineStr">
        <is>
          <t>01-May</t>
        </is>
      </c>
      <c r="Q5" s="59" t="inlineStr">
        <is>
          <t>02-May</t>
        </is>
      </c>
      <c r="R5" s="59" t="inlineStr">
        <is>
          <t>03-May</t>
        </is>
      </c>
      <c r="S5" s="59" t="inlineStr">
        <is>
          <t>04-May</t>
        </is>
      </c>
      <c r="T5" s="60" t="inlineStr">
        <is>
          <t>Total</t>
        </is>
      </c>
    </row>
    <row r="6" ht="26" customHeight="1">
      <c r="B6" s="61" t="inlineStr">
        <is>
          <t>INGRESOS</t>
        </is>
      </c>
      <c r="C6" s="62">
        <f>SUMIFS(Transacciones!$D:$D,Transacciones!$E:$E,"in",Transacciones!$B:$B,"2026-04-18")</f>
        <v/>
      </c>
      <c r="D6" s="62">
        <f>SUMIFS(Transacciones!$D:$D,Transacciones!$E:$E,"in",Transacciones!$B:$B,"2026-04-19")</f>
        <v/>
      </c>
      <c r="E6" s="62">
        <f>SUMIFS(Transacciones!$D:$D,Transacciones!$E:$E,"in",Transacciones!$B:$B,"2026-04-20")</f>
        <v/>
      </c>
      <c r="F6" s="62">
        <f>SUMIFS(Transacciones!$D:$D,Transacciones!$E:$E,"in",Transacciones!$B:$B,"2026-04-21")</f>
        <v/>
      </c>
      <c r="G6" s="62">
        <f>SUMIFS(Transacciones!$D:$D,Transacciones!$E:$E,"in",Transacciones!$B:$B,"2026-04-22")</f>
        <v/>
      </c>
      <c r="H6" s="62">
        <f>SUMIFS(Transacciones!$D:$D,Transacciones!$E:$E,"in",Transacciones!$B:$B,"2026-04-23")</f>
        <v/>
      </c>
      <c r="I6" s="62">
        <f>SUMIFS(Transacciones!$D:$D,Transacciones!$E:$E,"in",Transacciones!$B:$B,"2026-04-24")</f>
        <v/>
      </c>
      <c r="J6" s="62">
        <f>SUMIFS(Transacciones!$D:$D,Transacciones!$E:$E,"in",Transacciones!$B:$B,"2026-04-25")</f>
        <v/>
      </c>
      <c r="K6" s="62">
        <f>SUMIFS(Transacciones!$D:$D,Transacciones!$E:$E,"in",Transacciones!$B:$B,"2026-04-26")</f>
        <v/>
      </c>
      <c r="L6" s="62">
        <f>SUMIFS(Transacciones!$D:$D,Transacciones!$E:$E,"in",Transacciones!$B:$B,"2026-04-27")</f>
        <v/>
      </c>
      <c r="M6" s="62">
        <f>SUMIFS(Transacciones!$D:$D,Transacciones!$E:$E,"in",Transacciones!$B:$B,"2026-04-28")</f>
        <v/>
      </c>
      <c r="N6" s="62">
        <f>SUMIFS(Transacciones!$D:$D,Transacciones!$E:$E,"in",Transacciones!$B:$B,"2026-04-29")</f>
        <v/>
      </c>
      <c r="O6" s="62">
        <f>SUMIFS(Transacciones!$D:$D,Transacciones!$E:$E,"in",Transacciones!$B:$B,"2026-04-30")</f>
        <v/>
      </c>
      <c r="P6" s="62">
        <f>SUMIFS(Transacciones!$D:$D,Transacciones!$E:$E,"in",Transacciones!$B:$B,"2026-05-01")</f>
        <v/>
      </c>
      <c r="Q6" s="62">
        <f>SUMIFS(Transacciones!$D:$D,Transacciones!$E:$E,"in",Transacciones!$B:$B,"2026-05-02")</f>
        <v/>
      </c>
      <c r="R6" s="62">
        <f>SUMIFS(Transacciones!$D:$D,Transacciones!$E:$E,"in",Transacciones!$B:$B,"2026-05-03")</f>
        <v/>
      </c>
      <c r="S6" s="62">
        <f>SUMIFS(Transacciones!$D:$D,Transacciones!$E:$E,"in",Transacciones!$B:$B,"2026-05-04")</f>
        <v/>
      </c>
      <c r="T6" s="63">
        <f>SUM(C6:S6)</f>
        <v/>
      </c>
    </row>
    <row r="7" ht="26" customHeight="1">
      <c r="B7" s="64" t="inlineStr">
        <is>
          <t>GASTOS</t>
        </is>
      </c>
      <c r="C7" s="65">
        <f>SUMIFS(Transacciones!$D:$D,Transacciones!$E:$E,"out",Transacciones!$B:$B,"2026-04-18")</f>
        <v/>
      </c>
      <c r="D7" s="65">
        <f>SUMIFS(Transacciones!$D:$D,Transacciones!$E:$E,"out",Transacciones!$B:$B,"2026-04-19")</f>
        <v/>
      </c>
      <c r="E7" s="65">
        <f>SUMIFS(Transacciones!$D:$D,Transacciones!$E:$E,"out",Transacciones!$B:$B,"2026-04-20")</f>
        <v/>
      </c>
      <c r="F7" s="65">
        <f>SUMIFS(Transacciones!$D:$D,Transacciones!$E:$E,"out",Transacciones!$B:$B,"2026-04-21")</f>
        <v/>
      </c>
      <c r="G7" s="65">
        <f>SUMIFS(Transacciones!$D:$D,Transacciones!$E:$E,"out",Transacciones!$B:$B,"2026-04-22")</f>
        <v/>
      </c>
      <c r="H7" s="65">
        <f>SUMIFS(Transacciones!$D:$D,Transacciones!$E:$E,"out",Transacciones!$B:$B,"2026-04-23")</f>
        <v/>
      </c>
      <c r="I7" s="65">
        <f>SUMIFS(Transacciones!$D:$D,Transacciones!$E:$E,"out",Transacciones!$B:$B,"2026-04-24")</f>
        <v/>
      </c>
      <c r="J7" s="65">
        <f>SUMIFS(Transacciones!$D:$D,Transacciones!$E:$E,"out",Transacciones!$B:$B,"2026-04-25")</f>
        <v/>
      </c>
      <c r="K7" s="65">
        <f>SUMIFS(Transacciones!$D:$D,Transacciones!$E:$E,"out",Transacciones!$B:$B,"2026-04-26")</f>
        <v/>
      </c>
      <c r="L7" s="65">
        <f>SUMIFS(Transacciones!$D:$D,Transacciones!$E:$E,"out",Transacciones!$B:$B,"2026-04-27")</f>
        <v/>
      </c>
      <c r="M7" s="65">
        <f>SUMIFS(Transacciones!$D:$D,Transacciones!$E:$E,"out",Transacciones!$B:$B,"2026-04-28")</f>
        <v/>
      </c>
      <c r="N7" s="65">
        <f>SUMIFS(Transacciones!$D:$D,Transacciones!$E:$E,"out",Transacciones!$B:$B,"2026-04-29")</f>
        <v/>
      </c>
      <c r="O7" s="65">
        <f>SUMIFS(Transacciones!$D:$D,Transacciones!$E:$E,"out",Transacciones!$B:$B,"2026-04-30")</f>
        <v/>
      </c>
      <c r="P7" s="65">
        <f>SUMIFS(Transacciones!$D:$D,Transacciones!$E:$E,"out",Transacciones!$B:$B,"2026-05-01")</f>
        <v/>
      </c>
      <c r="Q7" s="65">
        <f>SUMIFS(Transacciones!$D:$D,Transacciones!$E:$E,"out",Transacciones!$B:$B,"2026-05-02")</f>
        <v/>
      </c>
      <c r="R7" s="65">
        <f>SUMIFS(Transacciones!$D:$D,Transacciones!$E:$E,"out",Transacciones!$B:$B,"2026-05-03")</f>
        <v/>
      </c>
      <c r="S7" s="65">
        <f>SUMIFS(Transacciones!$D:$D,Transacciones!$E:$E,"out",Transacciones!$B:$B,"2026-05-04")</f>
        <v/>
      </c>
      <c r="T7" s="63">
        <f>SUM(C7:S7)</f>
        <v/>
      </c>
    </row>
    <row r="8" ht="26" customHeight="1">
      <c r="B8" s="66" t="inlineStr">
        <is>
          <t>FLUJO NETO</t>
        </is>
      </c>
      <c r="C8" s="67">
        <f>C6-C7</f>
        <v/>
      </c>
      <c r="D8" s="67">
        <f>D6-D7</f>
        <v/>
      </c>
      <c r="E8" s="67">
        <f>E6-E7</f>
        <v/>
      </c>
      <c r="F8" s="67">
        <f>F6-F7</f>
        <v/>
      </c>
      <c r="G8" s="67">
        <f>G6-G7</f>
        <v/>
      </c>
      <c r="H8" s="67">
        <f>H6-H7</f>
        <v/>
      </c>
      <c r="I8" s="67">
        <f>I6-I7</f>
        <v/>
      </c>
      <c r="J8" s="67">
        <f>J6-J7</f>
        <v/>
      </c>
      <c r="K8" s="67">
        <f>K6-K7</f>
        <v/>
      </c>
      <c r="L8" s="67">
        <f>L6-L7</f>
        <v/>
      </c>
      <c r="M8" s="67">
        <f>M6-M7</f>
        <v/>
      </c>
      <c r="N8" s="67">
        <f>N6-N7</f>
        <v/>
      </c>
      <c r="O8" s="67">
        <f>O6-O7</f>
        <v/>
      </c>
      <c r="P8" s="67">
        <f>P6-P7</f>
        <v/>
      </c>
      <c r="Q8" s="67">
        <f>Q6-Q7</f>
        <v/>
      </c>
      <c r="R8" s="67">
        <f>R6-R7</f>
        <v/>
      </c>
      <c r="S8" s="67">
        <f>S6-S7</f>
        <v/>
      </c>
      <c r="T8" s="63">
        <f>T6-T7</f>
        <v/>
      </c>
    </row>
    <row r="9" ht="26" customHeight="1">
      <c r="B9" s="68" t="inlineStr">
        <is>
          <t>SALDO ACUMULADO</t>
        </is>
      </c>
      <c r="C9" s="69">
        <f>$U$3+C8</f>
        <v/>
      </c>
      <c r="D9" s="69">
        <f>C9+D8</f>
        <v/>
      </c>
      <c r="E9" s="69">
        <f>D9+E8</f>
        <v/>
      </c>
      <c r="F9" s="69">
        <f>E9+F8</f>
        <v/>
      </c>
      <c r="G9" s="69">
        <f>F9+G8</f>
        <v/>
      </c>
      <c r="H9" s="69">
        <f>G9+H8</f>
        <v/>
      </c>
      <c r="I9" s="69">
        <f>H9+I8</f>
        <v/>
      </c>
      <c r="J9" s="69">
        <f>I9+J8</f>
        <v/>
      </c>
      <c r="K9" s="69">
        <f>J9+K8</f>
        <v/>
      </c>
      <c r="L9" s="69">
        <f>K9+L8</f>
        <v/>
      </c>
      <c r="M9" s="69">
        <f>L9+M8</f>
        <v/>
      </c>
      <c r="N9" s="69">
        <f>M9+N8</f>
        <v/>
      </c>
      <c r="O9" s="69">
        <f>N9+O8</f>
        <v/>
      </c>
      <c r="P9" s="69">
        <f>O9+P8</f>
        <v/>
      </c>
      <c r="Q9" s="69">
        <f>P9+Q8</f>
        <v/>
      </c>
      <c r="R9" s="69">
        <f>Q9+R8</f>
        <v/>
      </c>
      <c r="S9" s="69">
        <f>R9+S8</f>
        <v/>
      </c>
      <c r="T9" s="70">
        <f>$U$3+T8</f>
        <v/>
      </c>
    </row>
  </sheetData>
  <mergeCells count="3">
    <mergeCell ref="B2:U2"/>
    <mergeCell ref="B3:Q3"/>
    <mergeCell ref="R3:T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8" customWidth="1" min="7" max="7"/>
    <col width="16" customWidth="1" min="8" max="8"/>
    <col width="16" customWidth="1" min="9" max="9"/>
    <col width="12" customWidth="1" min="10" max="10"/>
    <col width="12" customWidth="1" min="11" max="11"/>
    <col width="18" customWidth="1" min="12" max="12"/>
    <col width="14" customWidth="1" min="13" max="13"/>
    <col width="38" customWidth="1" min="14" max="14"/>
  </cols>
  <sheetData>
    <row r="1" ht="32" customHeight="1">
      <c r="A1" s="71" t="inlineStr">
        <is>
          <t>DEUDAS  ·  Por cobrar / Por pagar</t>
        </is>
      </c>
    </row>
    <row r="3" ht="26" customHeight="1">
      <c r="A3" s="28" t="inlineStr">
        <is>
          <t>Deudor / Acreedor</t>
        </is>
      </c>
      <c r="B3" s="28" t="inlineStr">
        <is>
          <t>Tipo</t>
        </is>
      </c>
      <c r="C3" s="28" t="inlineStr">
        <is>
          <t>Capital Original</t>
        </is>
      </c>
      <c r="D3" s="28" t="inlineStr">
        <is>
          <t>Fecha Inicio</t>
        </is>
      </c>
      <c r="E3" s="28" t="inlineStr">
        <is>
          <t>Tasa Mensual %</t>
        </is>
      </c>
      <c r="F3" s="28" t="inlineStr">
        <is>
          <t>Meses Transc.</t>
        </is>
      </c>
      <c r="G3" s="28" t="inlineStr">
        <is>
          <t>Interes Mensual Fijo</t>
        </is>
      </c>
      <c r="H3" s="28" t="inlineStr">
        <is>
          <t>Pagos a Capital</t>
        </is>
      </c>
      <c r="I3" s="28" t="inlineStr">
        <is>
          <t>Saldo Vivo</t>
        </is>
      </c>
      <c r="J3" s="28" t="inlineStr">
        <is>
          <t>Fecha Vcto.</t>
        </is>
      </c>
      <c r="K3" s="28" t="inlineStr">
        <is>
          <t>Dias p/Vcto.</t>
        </is>
      </c>
      <c r="L3" s="28" t="inlineStr">
        <is>
          <t>Forma de Pago</t>
        </is>
      </c>
      <c r="M3" s="28" t="inlineStr">
        <is>
          <t>Status</t>
        </is>
      </c>
      <c r="N3" s="28" t="inlineStr">
        <is>
          <t>Notas</t>
        </is>
      </c>
    </row>
    <row r="4">
      <c r="A4" s="72" t="inlineStr">
        <is>
          <t>Luis Mendoza</t>
        </is>
      </c>
      <c r="B4" s="72" t="inlineStr">
        <is>
          <t>Por Pagar</t>
        </is>
      </c>
      <c r="C4" s="73" t="n">
        <v>40000</v>
      </c>
      <c r="D4" s="72" t="inlineStr">
        <is>
          <t>2025-12-15</t>
        </is>
      </c>
      <c r="E4" s="74" t="n">
        <v>4</v>
      </c>
      <c r="F4" s="72" t="n">
        <v>4</v>
      </c>
      <c r="G4" s="75" t="n">
        <v>1600</v>
      </c>
      <c r="H4" s="75" t="n">
        <v>0</v>
      </c>
      <c r="I4" s="76" t="n">
        <v>40000</v>
      </c>
      <c r="J4" s="72" t="inlineStr"/>
      <c r="K4" s="72" t="inlineStr"/>
      <c r="L4" s="72" t="inlineStr">
        <is>
          <t>Transferencia mensual</t>
        </is>
      </c>
      <c r="M4" s="72" t="inlineStr">
        <is>
          <t>Sin vcto.</t>
        </is>
      </c>
      <c r="N4" s="72" t="inlineStr">
        <is>
          <t>Prestamo dic 2025. Capital $40,000. Interes 4% mensual fijo $1,600. Solo se pagan intereses; capital intacto.</t>
        </is>
      </c>
    </row>
    <row r="5">
      <c r="A5" s="72" t="inlineStr">
        <is>
          <t>Pedro Ramos</t>
        </is>
      </c>
      <c r="B5" s="72" t="inlineStr">
        <is>
          <t>Por Pagar</t>
        </is>
      </c>
      <c r="C5" s="73" t="n">
        <v>50000</v>
      </c>
      <c r="D5" s="72" t="inlineStr">
        <is>
          <t>2025-12-15</t>
        </is>
      </c>
      <c r="E5" s="74" t="n">
        <v>5</v>
      </c>
      <c r="F5" s="72" t="n">
        <v>4</v>
      </c>
      <c r="G5" s="75" t="n">
        <v>2500</v>
      </c>
      <c r="H5" s="75" t="n">
        <v>5000</v>
      </c>
      <c r="I5" s="76" t="n">
        <v>45000</v>
      </c>
      <c r="J5" s="72" t="inlineStr"/>
      <c r="K5" s="72" t="inlineStr"/>
      <c r="L5" s="72" t="inlineStr">
        <is>
          <t>Transferencia mensual</t>
        </is>
      </c>
      <c r="M5" s="72" t="inlineStr">
        <is>
          <t>Activo</t>
        </is>
      </c>
      <c r="N5" s="72" t="inlineStr">
        <is>
          <t>Prestamo dic 2025. Capital $50K. Interes 5% mensual $2,500. Abono $5K capital el 29-abr-26. Saldo vivo $45K.</t>
        </is>
      </c>
    </row>
    <row r="10">
      <c r="A10" s="77" t="inlineStr">
        <is>
          <t>TOTAL POR PAGAR</t>
        </is>
      </c>
      <c r="C10" s="78" t="n">
        <v>90000</v>
      </c>
      <c r="G10" s="79" t="n">
        <v>4100</v>
      </c>
      <c r="H10" s="79" t="n">
        <v>5000</v>
      </c>
      <c r="I10" s="80" t="n">
        <v>85000</v>
      </c>
    </row>
    <row r="14">
      <c r="A14" s="81" t="inlineStr">
        <is>
          <t>CREDITO ROTATIVO PROVEEDOR</t>
        </is>
      </c>
    </row>
    <row r="15">
      <c r="A15" s="41" t="inlineStr">
        <is>
          <t>Proveedor</t>
        </is>
      </c>
      <c r="B15" s="41" t="inlineStr">
        <is>
          <t>Cisterna Pendiente</t>
        </is>
      </c>
      <c r="C15" s="41" t="inlineStr">
        <is>
          <t>Monto</t>
        </is>
      </c>
      <c r="D15" s="41" t="inlineStr">
        <is>
          <t>Fecha Entrega</t>
        </is>
      </c>
    </row>
    <row r="16">
      <c r="A16" s="82" t="inlineStr">
        <is>
          <t>Olivar Andaluz S.L.</t>
        </is>
      </c>
      <c r="B16" s="83" t="inlineStr">
        <is>
          <t>Cisterna 18 (OL180)</t>
        </is>
      </c>
      <c r="C16" s="84" t="n">
        <v>58420.5</v>
      </c>
      <c r="D16" s="83" t="inlineStr">
        <is>
          <t>2026-05-22</t>
        </is>
      </c>
    </row>
  </sheetData>
  <mergeCells count="2">
    <mergeCell ref="A14:E14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I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  <col width="18" customWidth="1" min="7" max="7"/>
    <col width="22" customWidth="1" min="8" max="8"/>
    <col width="18" customWidth="1" min="9" max="9"/>
  </cols>
  <sheetData>
    <row r="2" ht="44" customHeight="1">
      <c r="B2" s="85" t="inlineStr">
        <is>
          <t>KPIs OPERATIVOS  ·  OLIVAR DEL SUR</t>
        </is>
      </c>
    </row>
    <row r="3">
      <c r="B3" s="7" t="inlineStr">
        <is>
          <t>Mes en curso · Mayo 2026  ·  Datos vivos: cualquier captura nueva recalcula esta vista</t>
        </is>
      </c>
    </row>
    <row r="5" ht="22" customHeight="1">
      <c r="B5" s="12" t="inlineStr">
        <is>
          <t>FLUJO NETO DEL PERIODO</t>
        </is>
      </c>
    </row>
    <row r="6" ht="60" customHeight="1">
      <c r="B6" s="86">
        <f>SUMIFS(Transacciones!D:D,Transacciones!E:E,"in")-SUMIFS(Transacciones!D:D,Transacciones!E:E,"out")</f>
        <v/>
      </c>
    </row>
    <row r="7">
      <c r="B7" s="7" t="inlineStr">
        <is>
          <t>Ingresos cobrados − Gastos pagados</t>
        </is>
      </c>
    </row>
    <row r="10" ht="26" customHeight="1">
      <c r="B10" s="26" t="inlineStr">
        <is>
          <t>DESGLOSE DE INGRESOS</t>
        </is>
      </c>
    </row>
    <row r="12" ht="20" customHeight="1">
      <c r="B12" s="87" t="inlineStr">
        <is>
          <t>COBROS A CLIENTES</t>
        </is>
      </c>
      <c r="D12" s="87" t="inlineStr">
        <is>
          <t>COBROS A CREDITO</t>
        </is>
      </c>
      <c r="F12" s="87" t="inlineStr">
        <is>
          <t>RETORNO GANDOLAS</t>
        </is>
      </c>
      <c r="H12" s="88" t="inlineStr">
        <is>
          <t>TOTAL INGRESOS</t>
        </is>
      </c>
    </row>
    <row r="13" ht="44" customHeight="1">
      <c r="B13" s="89">
        <f>SUMIFS(Transacciones!D:D,Transacciones!F:F,"cobro_cliente")</f>
        <v/>
      </c>
      <c r="D13" s="89">
        <f>SUMIFS(Transacciones!D:D,Transacciones!F:F,"cobro_credito")</f>
        <v/>
      </c>
      <c r="F13" s="89">
        <f>SUMIFS(Transacciones!D:D,Transacciones!F:F,"retorno_gandola")</f>
        <v/>
      </c>
      <c r="H13" s="90">
        <f>SUMIFS(Transacciones!D:D,Transacciones!E:E,"in")</f>
        <v/>
      </c>
    </row>
    <row r="14" ht="16" customHeight="1">
      <c r="B14" s="91" t="inlineStr">
        <is>
          <t>Categoria cobro_cliente</t>
        </is>
      </c>
      <c r="D14" s="91" t="inlineStr">
        <is>
          <t>Categoria cobro_credito</t>
        </is>
      </c>
      <c r="F14" s="91" t="inlineStr">
        <is>
          <t>Categoria retorno_gandola</t>
        </is>
      </c>
      <c r="H14" s="92" t="inlineStr">
        <is>
          <t>Suma direccion in</t>
        </is>
      </c>
    </row>
    <row r="17" ht="26" customHeight="1">
      <c r="B17" s="26" t="inlineStr">
        <is>
          <t>DESGLOSE DE GASTOS</t>
        </is>
      </c>
    </row>
    <row r="19" ht="20" customHeight="1">
      <c r="B19" s="93" t="inlineStr">
        <is>
          <t>PAGOS A PROVEEDORES</t>
        </is>
      </c>
      <c r="D19" s="93" t="inlineStr">
        <is>
          <t>INTERES DE DEUDA</t>
        </is>
      </c>
      <c r="F19" s="93" t="inlineStr">
        <is>
          <t>CAPITAL DE DEUDA</t>
        </is>
      </c>
      <c r="H19" s="88" t="inlineStr">
        <is>
          <t>TOTAL GASTOS</t>
        </is>
      </c>
    </row>
    <row r="20" ht="44" customHeight="1">
      <c r="B20" s="94">
        <f>SUMIFS(Transacciones!D:D,Transacciones!F:F,"pago_proveedor")</f>
        <v/>
      </c>
      <c r="D20" s="94">
        <f>SUMIFS(Transacciones!D:D,Transacciones!F:F,"pago_deuda_interes")</f>
        <v/>
      </c>
      <c r="F20" s="94">
        <f>SUMIFS(Transacciones!D:D,Transacciones!F:F,"pago_deuda_capital")</f>
        <v/>
      </c>
      <c r="H20" s="90">
        <f>SUMIFS(Transacciones!D:D,Transacciones!E:E,"out")</f>
        <v/>
      </c>
    </row>
    <row r="21" ht="16" customHeight="1">
      <c r="B21" s="95" t="inlineStr">
        <is>
          <t>Categoria pago_proveedor</t>
        </is>
      </c>
      <c r="D21" s="95" t="inlineStr">
        <is>
          <t>Categoria pago_deuda_interes</t>
        </is>
      </c>
      <c r="F21" s="95" t="inlineStr">
        <is>
          <t>Abonos a principal</t>
        </is>
      </c>
      <c r="H21" s="92" t="inlineStr">
        <is>
          <t>Suma direccion out</t>
        </is>
      </c>
    </row>
    <row r="24" ht="26" customHeight="1">
      <c r="B24" s="26" t="inlineStr">
        <is>
          <t>OPERACION</t>
        </is>
      </c>
    </row>
    <row r="26" ht="20" customHeight="1">
      <c r="B26" s="96" t="inlineStr">
        <is>
          <t># COBROS RECIBIDOS</t>
        </is>
      </c>
      <c r="D26" s="96" t="inlineStr">
        <is>
          <t># PAGOS REALIZADOS</t>
        </is>
      </c>
      <c r="F26" s="96" t="inlineStr">
        <is>
          <t>TICKET PROMEDIO COBRO</t>
        </is>
      </c>
      <c r="H26" s="96" t="inlineStr">
        <is>
          <t>TICKET PROMEDIO GASTO</t>
        </is>
      </c>
    </row>
    <row r="27" ht="44" customHeight="1">
      <c r="B27" s="97">
        <f>COUNTIFS(Transacciones!E:E,"in")</f>
        <v/>
      </c>
      <c r="D27" s="97">
        <f>COUNTIFS(Transacciones!E:E,"out")</f>
        <v/>
      </c>
      <c r="F27" s="98">
        <f>IFERROR(SUMIFS(Transacciones!D:D,Transacciones!E:E,"in")/COUNTIFS(Transacciones!E:E,"in"),0)</f>
        <v/>
      </c>
      <c r="H27" s="98">
        <f>IFERROR(SUMIFS(Transacciones!D:D,Transacciones!E:E,"out")/COUNTIFS(Transacciones!E:E,"out"),0)</f>
        <v/>
      </c>
    </row>
    <row r="28" ht="16" customHeight="1">
      <c r="B28" s="99" t="inlineStr">
        <is>
          <t>Capturas entrantes</t>
        </is>
      </c>
      <c r="D28" s="99" t="inlineStr">
        <is>
          <t>Salidas de caja</t>
        </is>
      </c>
      <c r="F28" s="99" t="inlineStr">
        <is>
          <t>Promedio por captura</t>
        </is>
      </c>
      <c r="H28" s="99" t="inlineStr">
        <is>
          <t>Promedio salida</t>
        </is>
      </c>
    </row>
    <row r="31" ht="26" customHeight="1">
      <c r="B31" s="26" t="inlineStr">
        <is>
          <t>POSICION DE EFECTIVO  (link Dashboard)</t>
        </is>
      </c>
    </row>
    <row r="33" ht="20" customHeight="1">
      <c r="B33" s="96" t="inlineStr">
        <is>
          <t>EFECTIVO EN BANCO</t>
        </is>
      </c>
      <c r="D33" s="100" t="inlineStr">
        <is>
          <t>CAPITAL EN GANDOLAS</t>
        </is>
      </c>
      <c r="F33" s="101" t="inlineStr">
        <is>
          <t>CUENTAS POR COBRAR</t>
        </is>
      </c>
      <c r="H33" s="88" t="inlineStr">
        <is>
          <t>TOTAL TRAZADO</t>
        </is>
      </c>
    </row>
    <row r="34" ht="44" customHeight="1">
      <c r="B34" s="102">
        <f>Dashboard!C12</f>
        <v/>
      </c>
      <c r="D34" s="103">
        <f>Dashboard!E12</f>
        <v/>
      </c>
      <c r="F34" s="104">
        <f>Dashboard!G12</f>
        <v/>
      </c>
      <c r="H34" s="90">
        <f>Dashboard!B8</f>
        <v/>
      </c>
    </row>
    <row r="35" ht="16" customHeight="1">
      <c r="B35" s="99" t="inlineStr">
        <is>
          <t>Saldo liquido</t>
        </is>
      </c>
      <c r="D35" s="105" t="inlineStr">
        <is>
          <t>En transito</t>
        </is>
      </c>
      <c r="F35" s="106" t="inlineStr">
        <is>
          <t>Pendiente</t>
        </is>
      </c>
      <c r="H35" s="92" t="inlineStr">
        <is>
          <t>Suma 3 buckets</t>
        </is>
      </c>
    </row>
    <row r="38">
      <c r="B38" s="107" t="inlineStr">
        <is>
          <t>Convencion de colores (estandar finance / IB)</t>
        </is>
      </c>
    </row>
    <row r="39">
      <c r="B39" s="82" t="inlineStr">
        <is>
          <t>AZUL</t>
        </is>
      </c>
      <c r="C39" s="108" t="inlineStr">
        <is>
          <t>input hardcodeado (saldo inicial, datos de transaccion)</t>
        </is>
      </c>
    </row>
    <row r="40">
      <c r="B40" s="42" t="inlineStr">
        <is>
          <t>NEGRO</t>
        </is>
      </c>
      <c r="C40" s="108" t="inlineStr">
        <is>
          <t>formula que opera sobre celdas de la misma pestaña</t>
        </is>
      </c>
    </row>
    <row r="41">
      <c r="B41" s="109" t="inlineStr">
        <is>
          <t>VERDE</t>
        </is>
      </c>
      <c r="C41" s="108" t="inlineStr">
        <is>
          <t>formula que referencia OTRA pestaña (link cross-sheet)</t>
        </is>
      </c>
    </row>
  </sheetData>
  <mergeCells count="61">
    <mergeCell ref="D20:E20"/>
    <mergeCell ref="H35:I35"/>
    <mergeCell ref="H20:I20"/>
    <mergeCell ref="B7:I7"/>
    <mergeCell ref="D19:E19"/>
    <mergeCell ref="D34:E34"/>
    <mergeCell ref="C39:I39"/>
    <mergeCell ref="F19:G19"/>
    <mergeCell ref="F34:G34"/>
    <mergeCell ref="B3:I3"/>
    <mergeCell ref="B31:I31"/>
    <mergeCell ref="B27:C27"/>
    <mergeCell ref="B12:C12"/>
    <mergeCell ref="D21:E21"/>
    <mergeCell ref="F21:G21"/>
    <mergeCell ref="H34:I34"/>
    <mergeCell ref="B21:C21"/>
    <mergeCell ref="F12:G12"/>
    <mergeCell ref="H21:I21"/>
    <mergeCell ref="D13:E13"/>
    <mergeCell ref="B2:I2"/>
    <mergeCell ref="D27:E27"/>
    <mergeCell ref="F20:G20"/>
    <mergeCell ref="F33:G33"/>
    <mergeCell ref="B14:C14"/>
    <mergeCell ref="F26:G26"/>
    <mergeCell ref="F35:G35"/>
    <mergeCell ref="B17:I17"/>
    <mergeCell ref="B13:C13"/>
    <mergeCell ref="B19:C19"/>
    <mergeCell ref="B34:C34"/>
    <mergeCell ref="B38:I38"/>
    <mergeCell ref="B10:I10"/>
    <mergeCell ref="B28:C28"/>
    <mergeCell ref="D28:E28"/>
    <mergeCell ref="H19:I19"/>
    <mergeCell ref="F28:G28"/>
    <mergeCell ref="F13:G13"/>
    <mergeCell ref="H28:I28"/>
    <mergeCell ref="H13:I13"/>
    <mergeCell ref="F27:G27"/>
    <mergeCell ref="C41:I41"/>
    <mergeCell ref="H27:I27"/>
    <mergeCell ref="D12:E12"/>
    <mergeCell ref="H12:I12"/>
    <mergeCell ref="C40:I40"/>
    <mergeCell ref="B26:C26"/>
    <mergeCell ref="B33:C33"/>
    <mergeCell ref="B6:I6"/>
    <mergeCell ref="B24:I24"/>
    <mergeCell ref="B20:C20"/>
    <mergeCell ref="D33:E33"/>
    <mergeCell ref="H33:I33"/>
    <mergeCell ref="D14:E14"/>
    <mergeCell ref="B5:I5"/>
    <mergeCell ref="F14:G14"/>
    <mergeCell ref="H14:I14"/>
    <mergeCell ref="D26:E26"/>
    <mergeCell ref="B35:C35"/>
    <mergeCell ref="D35:E3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2026-05-04T18:59:08Z</dcterms:created>
  <dcterms:modified xmlns:dcterms="http://purl.org/dc/terms/" xmlns:xsi="http://www.w3.org/2001/XMLSchema-instance" xsi:type="dcterms:W3CDTF">2026-05-04T18:59:11Z</dcterms:modified>
</cp:coreProperties>
</file>