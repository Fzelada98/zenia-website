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Deudas" sheetId="4" state="visible" r:id="rId4"/>
    <sheet xmlns:r="http://schemas.openxmlformats.org/officeDocument/2006/relationships"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&quot; gandolas&quot;"/>
    <numFmt numFmtId="166" formatCode="0&quot; cobros&quot;"/>
    <numFmt numFmtId="167" formatCode="0.00\%"/>
  </numFmts>
  <fonts count="35">
    <font>
      <name val="Calibri"/>
      <family val="2"/>
      <color theme="1"/>
      <sz val="11"/>
      <scheme val="minor"/>
    </font>
    <font>
      <b val="1"/>
      <color rgb="00C9A961"/>
      <sz val="14"/>
    </font>
    <font>
      <i val="1"/>
      <color rgb="0064748B"/>
      <sz val="10"/>
    </font>
    <font>
      <name val="Inter"/>
      <b val="1"/>
      <color rgb="00C9A961"/>
      <sz val="11"/>
    </font>
    <font>
      <b val="1"/>
      <color rgb="001F4D2E"/>
      <sz val="36"/>
    </font>
    <font>
      <b val="1"/>
      <color rgb="002563EB"/>
      <sz val="11"/>
    </font>
    <font>
      <b val="1"/>
      <color rgb="001F4D2E"/>
      <sz val="10"/>
    </font>
    <font>
      <b val="1"/>
      <color rgb="001F4D2E"/>
      <sz val="20"/>
    </font>
    <font>
      <i val="1"/>
      <color rgb="0064748B"/>
      <sz val="9"/>
    </font>
    <font>
      <b val="1"/>
      <color rgb="00C9A961"/>
      <sz val="12"/>
    </font>
    <font>
      <b val="1"/>
      <color rgb="00059669"/>
      <sz val="20"/>
    </font>
    <font>
      <b val="1"/>
      <color rgb="0092400E"/>
      <sz val="10"/>
    </font>
    <font>
      <b val="1"/>
      <color rgb="0092400E"/>
      <sz val="22"/>
    </font>
    <font>
      <b val="1"/>
      <color rgb="00991B1B"/>
      <sz val="10"/>
    </font>
    <font>
      <b val="1"/>
      <color rgb="00991B1B"/>
      <sz val="22"/>
    </font>
    <font>
      <b val="1"/>
      <color rgb="00166534"/>
      <sz val="10"/>
    </font>
    <font>
      <b val="1"/>
      <color rgb="00166534"/>
      <sz val="22"/>
    </font>
    <font>
      <b val="1"/>
      <color rgb="001A1A1A"/>
      <sz val="10"/>
    </font>
    <font>
      <b val="1"/>
      <color rgb="00166534"/>
      <sz val="11"/>
    </font>
    <font>
      <color rgb="001A1A1A"/>
      <sz val="10"/>
    </font>
    <font>
      <b val="1"/>
      <color rgb="00C9A961"/>
      <sz val="11"/>
    </font>
    <font>
      <b val="1"/>
      <color rgb="002563EB"/>
      <sz val="10"/>
    </font>
    <font>
      <b val="1"/>
      <color rgb="00C9A961"/>
      <sz val="18"/>
    </font>
    <font>
      <color rgb="00166534"/>
      <sz val="10"/>
    </font>
    <font>
      <color rgb="00991B1B"/>
      <sz val="10"/>
    </font>
    <font>
      <b val="1"/>
      <color rgb="001F4D2E"/>
      <sz val="11"/>
    </font>
    <font>
      <b val="1"/>
      <color rgb="00991B1B"/>
      <sz val="11"/>
    </font>
    <font>
      <b val="1"/>
      <color rgb="00059669"/>
      <sz val="10"/>
    </font>
    <font>
      <b val="1"/>
      <color rgb="001F4D2E"/>
    </font>
    <font>
      <b val="1"/>
      <color rgb="00059669"/>
      <sz val="11"/>
    </font>
    <font>
      <b val="1"/>
      <sz val="11"/>
    </font>
    <font>
      <color rgb="002563EB"/>
      <sz val="10"/>
    </font>
    <font>
      <b val="1"/>
      <color rgb="001F4D2E"/>
      <sz val="16"/>
    </font>
    <font>
      <color rgb="001A1A1A"/>
      <sz val="11"/>
    </font>
    <font>
      <b val="1"/>
      <color rgb="002563EB"/>
      <sz val="12"/>
    </font>
  </fonts>
  <fills count="10">
    <fill>
      <patternFill/>
    </fill>
    <fill>
      <patternFill patternType="gray125"/>
    </fill>
    <fill>
      <patternFill patternType="solid">
        <fgColor rgb="001F4D2E"/>
      </patternFill>
    </fill>
    <fill>
      <patternFill patternType="solid">
        <fgColor rgb="00F5ECD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5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2" borderId="0" applyAlignment="1" pivotButton="0" quotePrefix="0" xfId="0">
      <alignment horizontal="left" vertical="center" indent="1"/>
    </xf>
    <xf numFmtId="0" fontId="6" fillId="8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10" fillId="7" borderId="0" applyAlignment="1" pivotButton="0" quotePrefix="0" xfId="0">
      <alignment horizontal="center" vertical="center"/>
    </xf>
    <xf numFmtId="164" fontId="10" fillId="8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164" fontId="14" fillId="8" borderId="0" applyAlignment="1" pivotButton="0" quotePrefix="0" xfId="0">
      <alignment horizontal="center" vertical="center"/>
    </xf>
    <xf numFmtId="166" fontId="16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17" fillId="0" borderId="0" pivotButton="0" quotePrefix="0" xfId="0"/>
    <xf numFmtId="164" fontId="18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164" fontId="19" fillId="0" borderId="0" applyAlignment="1" pivotButton="0" quotePrefix="0" xfId="0">
      <alignment horizontal="right"/>
    </xf>
    <xf numFmtId="0" fontId="20" fillId="2" borderId="1" applyAlignment="1" pivotButton="0" quotePrefix="0" xfId="0">
      <alignment horizontal="center" vertical="center"/>
    </xf>
    <xf numFmtId="0" fontId="19" fillId="9" borderId="1" pivotButton="0" quotePrefix="0" xfId="0"/>
    <xf numFmtId="164" fontId="21" fillId="9" borderId="1" applyAlignment="1" pivotButton="0" quotePrefix="0" xfId="0">
      <alignment horizontal="right"/>
    </xf>
    <xf numFmtId="0" fontId="15" fillId="9" borderId="1" applyAlignment="1" pivotButton="0" quotePrefix="0" xfId="0">
      <alignment horizontal="center"/>
    </xf>
    <xf numFmtId="0" fontId="19" fillId="0" borderId="1" pivotButton="0" quotePrefix="0" xfId="0"/>
    <xf numFmtId="164" fontId="21" fillId="0" borderId="1" applyAlignment="1" pivotButton="0" quotePrefix="0" xfId="0">
      <alignment horizontal="right"/>
    </xf>
    <xf numFmtId="0" fontId="15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22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164" fontId="21" fillId="0" borderId="0" pivotButton="0" quotePrefix="0" xfId="0"/>
    <xf numFmtId="0" fontId="20" fillId="2" borderId="0" applyAlignment="1" pivotButton="0" quotePrefix="0" xfId="0">
      <alignment horizontal="center" vertical="center"/>
    </xf>
    <xf numFmtId="164" fontId="23" fillId="0" borderId="0" pivotButton="0" quotePrefix="0" xfId="0"/>
    <xf numFmtId="164" fontId="24" fillId="0" borderId="0" pivotButton="0" quotePrefix="0" xfId="0"/>
    <xf numFmtId="164" fontId="6" fillId="0" borderId="0" pivotButton="0" quotePrefix="0" xfId="0"/>
    <xf numFmtId="0" fontId="25" fillId="3" borderId="0" applyAlignment="1" pivotButton="0" quotePrefix="0" xfId="0">
      <alignment horizontal="center"/>
    </xf>
    <xf numFmtId="164" fontId="18" fillId="0" borderId="0" pivotButton="0" quotePrefix="0" xfId="0"/>
    <xf numFmtId="164" fontId="26" fillId="0" borderId="0" pivotButton="0" quotePrefix="0" xfId="0"/>
    <xf numFmtId="164" fontId="25" fillId="0" borderId="0" pivotButton="0" quotePrefix="0" xfId="0"/>
    <xf numFmtId="164" fontId="5" fillId="0" borderId="0" pivotButton="0" quotePrefix="0" xfId="0"/>
    <xf numFmtId="0" fontId="19" fillId="0" borderId="0" pivotButton="0" quotePrefix="0" xfId="0"/>
    <xf numFmtId="164" fontId="21" fillId="0" borderId="0" applyAlignment="1" pivotButton="0" quotePrefix="0" xfId="0">
      <alignment horizontal="right"/>
    </xf>
    <xf numFmtId="167" fontId="19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0" fontId="28" fillId="3" borderId="0" pivotButton="0" quotePrefix="0" xfId="0"/>
    <xf numFmtId="164" fontId="29" fillId="0" borderId="0" pivotButton="0" quotePrefix="0" xfId="0"/>
    <xf numFmtId="164" fontId="30" fillId="0" borderId="0" pivotButton="0" quotePrefix="0" xfId="0"/>
    <xf numFmtId="0" fontId="9" fillId="2" borderId="0" pivotButton="0" quotePrefix="0" xfId="0"/>
    <xf numFmtId="0" fontId="21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164" fontId="34" fillId="0" borderId="0" pivotButton="0" quotePrefix="0" xfId="0"/>
    <xf numFmtId="3" fontId="3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Cashflow diario · 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'Cashflow'!E5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'Cashflow'!$B$6:$B$18</f>
            </numRef>
          </cat>
          <val>
            <numRef>
              <f>'Cashflow'!$E$6:$E$18</f>
            </numRef>
          </val>
        </ser>
        <ser>
          <idx val="1"/>
          <order val="1"/>
          <tx>
            <strRef>
              <f>'Cashflow'!F5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'Cashflow'!$B$6:$B$18</f>
            </numRef>
          </cat>
          <val>
            <numRef>
              <f>'Cashflow'!$F$6:$F$18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34290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22" customWidth="1" min="9" max="9"/>
  </cols>
  <sheetData>
    <row r="1" ht="38" customHeight="1"/>
    <row r="2" ht="38" customHeight="1"/>
    <row r="3" ht="38" customHeight="1"/>
    <row r="4" ht="30" customHeight="1">
      <c r="B4" s="1" t="inlineStr">
        <is>
          <t>REPOSITORIO ZELLE  ·  Mes en curso (Mayo 2026)</t>
        </is>
      </c>
    </row>
    <row r="5">
      <c r="B5" s="2" t="inlineStr">
        <is>
          <t>Demo creado por ZENIA  ·  zeniapartners.com  ·  Datos ficticios (cliente y operacion inventados)</t>
        </is>
      </c>
    </row>
    <row r="7" ht="22" customHeight="1">
      <c r="B7" s="3" t="inlineStr">
        <is>
          <t>EFECTIVO TRAZADO TOTAL</t>
        </is>
      </c>
    </row>
    <row r="8" ht="50" customHeight="1">
      <c r="B8" s="4">
        <f>C12+E12+G12</f>
        <v/>
      </c>
    </row>
    <row r="9">
      <c r="B9" s="5" t="inlineStr">
        <is>
          <t>Suma trazada: liquido en banco + capital en gandolas + cuentas por cobrar</t>
        </is>
      </c>
    </row>
    <row r="10">
      <c r="B10" s="6" t="inlineStr">
        <is>
          <t>SALDO INICIAL BANCO (editable):</t>
        </is>
      </c>
      <c r="E10" s="7" t="n">
        <v>35000</v>
      </c>
    </row>
    <row r="11" ht="22" customHeight="1">
      <c r="B11" s="8" t="inlineStr">
        <is>
          <t>EFECTIVO EN BANCO</t>
        </is>
      </c>
      <c r="D11" s="9" t="inlineStr">
        <is>
          <t>DINERO EN GANDOLAS</t>
        </is>
      </c>
      <c r="F11" s="10" t="inlineStr">
        <is>
          <t>CUENTAS POR COBRAR</t>
        </is>
      </c>
      <c r="H11" s="11" t="inlineStr">
        <is>
          <t>TOTAL TRAZADO</t>
        </is>
      </c>
    </row>
    <row r="12" ht="60" customHeight="1">
      <c r="B12" s="12">
        <f>E10+SUMIFS(Transacciones!D:D,Transacciones!E:E,"in")-SUMIFS(Transacciones!D:D,Transacciones!E:E,"out")-(SUMIFS(Transacciones!D:D,Transacciones!F:F,"entrega_gandola")-SUMIFS(Transacciones!D:D,Transacciones!F:F,"retorno_gandola"))-(SUMIFS(Transacciones!D:D,Transacciones!F:F,"venta_credito")-SUMIFS(Transacciones!D:D,Transacciones!F:F,"cobro_credito"))</f>
        <v/>
      </c>
      <c r="D12" s="13">
        <f>SUMIFS(Transacciones!D:D,Transacciones!F:F,"entrega_gandola")-SUMIFS(Transacciones!D:D,Transacciones!F:F,"retorno_gandola")</f>
        <v/>
      </c>
      <c r="F12" s="14">
        <f>SUMIFS(Transacciones!D:D,Transacciones!F:F,"venta_credito")-SUMIFS(Transacciones!D:D,Transacciones!F:F,"cobro_credito")</f>
        <v/>
      </c>
      <c r="H12" s="15">
        <f>C12+E12+G12</f>
        <v/>
      </c>
    </row>
    <row r="13" ht="18" customHeight="1">
      <c r="B13" s="16" t="inlineStr">
        <is>
          <t>Saldo liquido</t>
        </is>
      </c>
      <c r="D13" s="17" t="inlineStr">
        <is>
          <t>Capital en transito</t>
        </is>
      </c>
      <c r="F13" s="18" t="inlineStr">
        <is>
          <t>Pendiente de cobrar</t>
        </is>
      </c>
      <c r="H13" s="19" t="inlineStr">
        <is>
          <t>Suma de los 3</t>
        </is>
      </c>
    </row>
    <row r="15" ht="26" customHeight="1">
      <c r="B15" s="20" t="inlineStr">
        <is>
          <t>KPIs DEL PERIODO</t>
        </is>
      </c>
    </row>
    <row r="17" ht="22" customHeight="1">
      <c r="B17" s="11" t="inlineStr">
        <is>
          <t>INGRESOS COBRADOS</t>
        </is>
      </c>
      <c r="D17" s="21" t="inlineStr">
        <is>
          <t>GASTOS PAGADOS</t>
        </is>
      </c>
      <c r="F17" s="22" t="inlineStr">
        <is>
          <t>FLUJO NETO</t>
        </is>
      </c>
      <c r="H17" s="8" t="inlineStr">
        <is>
          <t>TICKET PROMEDIO</t>
        </is>
      </c>
    </row>
    <row r="18" ht="60" customHeight="1">
      <c r="B18" s="23">
        <f>SUMIFS(Transacciones!D:D,Transacciones!E:E,"in")</f>
        <v/>
      </c>
      <c r="D18" s="24">
        <f>SUMIFS(Transacciones!D:D,Transacciones!E:E,"out")</f>
        <v/>
      </c>
      <c r="F18" s="25">
        <f>C18-E18</f>
        <v/>
      </c>
      <c r="H18" s="26">
        <f>IFERROR(C18/COUNTIFS(Transacciones!E:E,"in"),0)</f>
        <v/>
      </c>
    </row>
    <row r="19" ht="18" customHeight="1">
      <c r="B19" s="19" t="inlineStr">
        <is>
          <t>Total in</t>
        </is>
      </c>
      <c r="D19" s="27" t="inlineStr">
        <is>
          <t>Total out</t>
        </is>
      </c>
      <c r="F19" s="28" t="inlineStr">
        <is>
          <t>Cashflow del periodo</t>
        </is>
      </c>
      <c r="H19" s="16" t="inlineStr">
        <is>
          <t>Por cobro</t>
        </is>
      </c>
    </row>
    <row r="21" ht="26" customHeight="1">
      <c r="B21" s="20" t="inlineStr">
        <is>
          <t>ALERTAS Y RESUMEN OPERATIVO</t>
        </is>
      </c>
    </row>
    <row r="23" ht="22" customHeight="1">
      <c r="B23" s="29" t="inlineStr">
        <is>
          <t>!  GANDOLAS ACTIVAS</t>
        </is>
      </c>
      <c r="E23" s="30" t="inlineStr">
        <is>
          <t>!  PROXIMO PAGO INTERES</t>
        </is>
      </c>
      <c r="G23" s="31" t="inlineStr">
        <is>
          <t>+  COBROS ESTA SEMANA</t>
        </is>
      </c>
    </row>
    <row r="24" ht="50" customHeight="1">
      <c r="B24" s="32">
        <f>COUNTIFS(Transacciones!F:F,"entrega_gandola")-COUNTIFS(Transacciones!F:F,"retorno_gandola")</f>
        <v/>
      </c>
      <c r="E24" s="33" t="n">
        <v>1600</v>
      </c>
      <c r="G24" s="34">
        <f>COUNTIFS(Transacciones!E:E,"in")</f>
        <v/>
      </c>
    </row>
    <row r="25" ht="18" customHeight="1">
      <c r="B25" s="17" t="inlineStr">
        <is>
          <t>Capital en ruta sin cerrar</t>
        </is>
      </c>
      <c r="E25" s="27" t="inlineStr">
        <is>
          <t>Luis Mendoza · vence 28-MAY</t>
        </is>
      </c>
      <c r="G25" s="19" t="inlineStr">
        <is>
          <t>Pagos recibidos</t>
        </is>
      </c>
    </row>
    <row r="27" ht="26" customHeight="1">
      <c r="B27" s="20" t="inlineStr">
        <is>
          <t>TOP PAGADORES DEL PERIODO</t>
        </is>
      </c>
    </row>
    <row r="28">
      <c r="B28" s="35" t="inlineStr">
        <is>
          <t>Cliente</t>
        </is>
      </c>
      <c r="D28" s="35" t="inlineStr">
        <is>
          <t>Total Cobrado</t>
        </is>
      </c>
      <c r="F28" s="35" t="inlineStr">
        <is>
          <t># Pagos</t>
        </is>
      </c>
      <c r="H28" s="35" t="inlineStr">
        <is>
          <t>Ticket Promedio</t>
        </is>
      </c>
    </row>
    <row r="29">
      <c r="B29" s="36" t="inlineStr">
        <is>
          <t>Carlos Perez</t>
        </is>
      </c>
      <c r="D29" s="37" t="n">
        <v>1200</v>
      </c>
      <c r="F29" s="38" t="n">
        <v>2</v>
      </c>
      <c r="H29" s="39" t="n">
        <v>600</v>
      </c>
    </row>
    <row r="30">
      <c r="B30" s="36" t="inlineStr">
        <is>
          <t>Empresa XYZ</t>
        </is>
      </c>
      <c r="D30" s="37" t="n">
        <v>1700</v>
      </c>
      <c r="F30" s="38" t="n">
        <v>2</v>
      </c>
      <c r="H30" s="39" t="n">
        <v>850</v>
      </c>
    </row>
    <row r="31">
      <c r="B31" s="36" t="inlineStr">
        <is>
          <t>Lucia Ramirez</t>
        </is>
      </c>
      <c r="D31" s="37" t="n">
        <v>1300</v>
      </c>
      <c r="F31" s="38" t="n">
        <v>2</v>
      </c>
      <c r="H31" s="39" t="n">
        <v>650</v>
      </c>
    </row>
    <row r="32">
      <c r="B32" s="36" t="inlineStr">
        <is>
          <t>Pedro Lopez</t>
        </is>
      </c>
      <c r="D32" s="37" t="n">
        <v>800</v>
      </c>
      <c r="F32" s="38" t="n">
        <v>2</v>
      </c>
      <c r="H32" s="39" t="n">
        <v>400</v>
      </c>
    </row>
    <row r="33">
      <c r="B33" s="36" t="inlineStr">
        <is>
          <t>Maria Gonzalez</t>
        </is>
      </c>
      <c r="D33" s="37" t="n">
        <v>500</v>
      </c>
      <c r="F33" s="38" t="n">
        <v>1</v>
      </c>
      <c r="H33" s="39" t="n">
        <v>500</v>
      </c>
    </row>
    <row r="34">
      <c r="B34" s="36" t="inlineStr">
        <is>
          <t>Restaurante Lima</t>
        </is>
      </c>
      <c r="D34" s="37" t="n">
        <v>450</v>
      </c>
      <c r="F34" s="38" t="n">
        <v>1</v>
      </c>
      <c r="H34" s="39" t="n">
        <v>450</v>
      </c>
    </row>
  </sheetData>
  <mergeCells count="42">
    <mergeCell ref="F11:G11"/>
    <mergeCell ref="B7:I7"/>
    <mergeCell ref="B23:D23"/>
    <mergeCell ref="D19:E19"/>
    <mergeCell ref="E24:F24"/>
    <mergeCell ref="F19:G19"/>
    <mergeCell ref="E23:F23"/>
    <mergeCell ref="B18:C18"/>
    <mergeCell ref="B27:I27"/>
    <mergeCell ref="B12:C12"/>
    <mergeCell ref="B10:D10"/>
    <mergeCell ref="G24:I24"/>
    <mergeCell ref="F12:G12"/>
    <mergeCell ref="B21:I21"/>
    <mergeCell ref="B11:C11"/>
    <mergeCell ref="D11:E11"/>
    <mergeCell ref="D13:E13"/>
    <mergeCell ref="F18:G18"/>
    <mergeCell ref="B17:C17"/>
    <mergeCell ref="D17:E17"/>
    <mergeCell ref="B8:I8"/>
    <mergeCell ref="F17:G17"/>
    <mergeCell ref="B24:D24"/>
    <mergeCell ref="H17:I17"/>
    <mergeCell ref="B13:C13"/>
    <mergeCell ref="G25:I25"/>
    <mergeCell ref="H11:I11"/>
    <mergeCell ref="B19:C19"/>
    <mergeCell ref="H19:I19"/>
    <mergeCell ref="F13:G13"/>
    <mergeCell ref="D18:E18"/>
    <mergeCell ref="H13:I13"/>
    <mergeCell ref="B25:D25"/>
    <mergeCell ref="D12:E12"/>
    <mergeCell ref="B9:I9"/>
    <mergeCell ref="H12:I12"/>
    <mergeCell ref="B15:I15"/>
    <mergeCell ref="E25:F25"/>
    <mergeCell ref="H18:I18"/>
    <mergeCell ref="G23:I23"/>
    <mergeCell ref="B5:I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1" customWidth="1" min="5" max="5"/>
    <col width="22" customWidth="1" min="6" max="6"/>
    <col width="18" customWidth="1" min="7" max="7"/>
    <col width="12" customWidth="1" min="8" max="8"/>
    <col width="38" customWidth="1" min="9" max="9"/>
  </cols>
  <sheetData>
    <row r="1" ht="32" customHeight="1">
      <c r="A1" s="40" t="inlineStr">
        <is>
          <t>ID</t>
        </is>
      </c>
      <c r="B1" s="40" t="inlineStr">
        <is>
          <t>Fecha</t>
        </is>
      </c>
      <c r="C1" s="40" t="inlineStr">
        <is>
          <t>Nombre</t>
        </is>
      </c>
      <c r="D1" s="40" t="inlineStr">
        <is>
          <t>Monto</t>
        </is>
      </c>
      <c r="E1" s="40" t="inlineStr">
        <is>
          <t>Direccion</t>
        </is>
      </c>
      <c r="F1" s="40" t="inlineStr">
        <is>
          <t>Categoria</t>
        </is>
      </c>
      <c r="G1" s="40" t="inlineStr">
        <is>
          <t>Conf#</t>
        </is>
      </c>
      <c r="H1" s="40" t="inlineStr">
        <is>
          <t>Estado</t>
        </is>
      </c>
      <c r="I1" s="40" t="inlineStr">
        <is>
          <t>Notas</t>
        </is>
      </c>
    </row>
    <row r="2">
      <c r="A2" s="41" t="inlineStr">
        <is>
          <t>D-001</t>
        </is>
      </c>
      <c r="B2" s="41" t="inlineStr">
        <is>
          <t>2026-05-04</t>
        </is>
      </c>
      <c r="C2" s="41" t="inlineStr">
        <is>
          <t>Maria Gonzalez</t>
        </is>
      </c>
      <c r="D2" s="42" t="n">
        <v>500</v>
      </c>
      <c r="E2" s="43" t="inlineStr">
        <is>
          <t>in</t>
        </is>
      </c>
      <c r="F2" s="41" t="inlineStr">
        <is>
          <t>cobro_cliente</t>
        </is>
      </c>
      <c r="G2" s="41" t="inlineStr">
        <is>
          <t>ABC123XYZ</t>
        </is>
      </c>
      <c r="H2" s="41" t="inlineStr">
        <is>
          <t>completed</t>
        </is>
      </c>
      <c r="I2" s="41" t="inlineStr">
        <is>
          <t>Pago anticipo orden #4421</t>
        </is>
      </c>
    </row>
    <row r="3">
      <c r="A3" s="44" t="inlineStr">
        <is>
          <t>D-002</t>
        </is>
      </c>
      <c r="B3" s="44" t="inlineStr">
        <is>
          <t>2026-05-03</t>
        </is>
      </c>
      <c r="C3" s="44" t="inlineStr">
        <is>
          <t>Carlos Perez</t>
        </is>
      </c>
      <c r="D3" s="45" t="n">
        <v>700</v>
      </c>
      <c r="E3" s="46" t="inlineStr">
        <is>
          <t>in</t>
        </is>
      </c>
      <c r="F3" s="44" t="inlineStr">
        <is>
          <t>cobro_cliente</t>
        </is>
      </c>
      <c r="G3" s="44" t="inlineStr">
        <is>
          <t>XYZ789DEF</t>
        </is>
      </c>
      <c r="H3" s="44" t="inlineStr">
        <is>
          <t>completed</t>
        </is>
      </c>
      <c r="I3" s="44" t="inlineStr">
        <is>
          <t>Pago final pedido botellas</t>
        </is>
      </c>
    </row>
    <row r="4">
      <c r="A4" s="41" t="inlineStr">
        <is>
          <t>D-003</t>
        </is>
      </c>
      <c r="B4" s="41" t="inlineStr">
        <is>
          <t>2026-05-03</t>
        </is>
      </c>
      <c r="C4" s="41" t="inlineStr">
        <is>
          <t>Empresa XYZ</t>
        </is>
      </c>
      <c r="D4" s="42" t="n">
        <v>850</v>
      </c>
      <c r="E4" s="43" t="inlineStr">
        <is>
          <t>in</t>
        </is>
      </c>
      <c r="F4" s="41" t="inlineStr">
        <is>
          <t>cobro_cliente</t>
        </is>
      </c>
      <c r="G4" s="41" t="inlineStr">
        <is>
          <t>QWE456RTY</t>
        </is>
      </c>
      <c r="H4" s="41" t="inlineStr">
        <is>
          <t>completed</t>
        </is>
      </c>
      <c r="I4" s="41" t="inlineStr">
        <is>
          <t>Pago factura mayo</t>
        </is>
      </c>
    </row>
    <row r="5">
      <c r="A5" s="44" t="inlineStr">
        <is>
          <t>D-004</t>
        </is>
      </c>
      <c r="B5" s="44" t="inlineStr">
        <is>
          <t>2026-05-02</t>
        </is>
      </c>
      <c r="C5" s="44" t="inlineStr">
        <is>
          <t>Carlos Perez</t>
        </is>
      </c>
      <c r="D5" s="45" t="n">
        <v>500</v>
      </c>
      <c r="E5" s="46" t="inlineStr">
        <is>
          <t>in</t>
        </is>
      </c>
      <c r="F5" s="44" t="inlineStr">
        <is>
          <t>cobro_cliente</t>
        </is>
      </c>
      <c r="G5" s="44" t="inlineStr">
        <is>
          <t>MNB789POI</t>
        </is>
      </c>
      <c r="H5" s="44" t="inlineStr">
        <is>
          <t>completed</t>
        </is>
      </c>
      <c r="I5" s="44" t="inlineStr">
        <is>
          <t>Anticipo pedido grande</t>
        </is>
      </c>
    </row>
    <row r="6">
      <c r="A6" s="41" t="inlineStr">
        <is>
          <t>D-005</t>
        </is>
      </c>
      <c r="B6" s="41" t="inlineStr">
        <is>
          <t>2026-05-02</t>
        </is>
      </c>
      <c r="C6" s="41" t="inlineStr">
        <is>
          <t>Lucia Ramirez</t>
        </is>
      </c>
      <c r="D6" s="42" t="n">
        <v>650</v>
      </c>
      <c r="E6" s="43" t="inlineStr">
        <is>
          <t>in</t>
        </is>
      </c>
      <c r="F6" s="41" t="inlineStr">
        <is>
          <t>cobro_cliente</t>
        </is>
      </c>
      <c r="G6" s="41" t="inlineStr">
        <is>
          <t>ZXC123ASD</t>
        </is>
      </c>
      <c r="H6" s="41" t="inlineStr">
        <is>
          <t>completed</t>
        </is>
      </c>
      <c r="I6" s="41" t="inlineStr">
        <is>
          <t>Pago semanal restaurante</t>
        </is>
      </c>
    </row>
    <row r="7">
      <c r="A7" s="44" t="inlineStr">
        <is>
          <t>D-006</t>
        </is>
      </c>
      <c r="B7" s="44" t="inlineStr">
        <is>
          <t>2026-05-01</t>
        </is>
      </c>
      <c r="C7" s="44" t="inlineStr">
        <is>
          <t>Gandola Beleva</t>
        </is>
      </c>
      <c r="D7" s="45" t="n">
        <v>5000</v>
      </c>
      <c r="E7" s="47" t="inlineStr">
        <is>
          <t>out</t>
        </is>
      </c>
      <c r="F7" s="44" t="inlineStr">
        <is>
          <t>entrega_gandola</t>
        </is>
      </c>
      <c r="G7" s="44" t="inlineStr"/>
      <c r="H7" s="44" t="inlineStr">
        <is>
          <t>completed</t>
        </is>
      </c>
      <c r="I7" s="44" t="inlineStr">
        <is>
          <t>Capital viaje Caracas - flete + impuestos</t>
        </is>
      </c>
    </row>
    <row r="8">
      <c r="A8" s="41" t="inlineStr">
        <is>
          <t>D-007</t>
        </is>
      </c>
      <c r="B8" s="41" t="inlineStr">
        <is>
          <t>2026-05-01</t>
        </is>
      </c>
      <c r="C8" s="41" t="inlineStr">
        <is>
          <t>Pedro Lopez</t>
        </is>
      </c>
      <c r="D8" s="42" t="n">
        <v>400</v>
      </c>
      <c r="E8" s="43" t="inlineStr">
        <is>
          <t>in</t>
        </is>
      </c>
      <c r="F8" s="41" t="inlineStr">
        <is>
          <t>cobro_cliente</t>
        </is>
      </c>
      <c r="G8" s="41" t="inlineStr">
        <is>
          <t>WER567TYU</t>
        </is>
      </c>
      <c r="H8" s="41" t="inlineStr">
        <is>
          <t>completed</t>
        </is>
      </c>
      <c r="I8" s="41" t="inlineStr">
        <is>
          <t>Pago tienda esquina</t>
        </is>
      </c>
    </row>
    <row r="9">
      <c r="A9" s="44" t="inlineStr">
        <is>
          <t>D-008</t>
        </is>
      </c>
      <c r="B9" s="44" t="inlineStr">
        <is>
          <t>2026-04-30</t>
        </is>
      </c>
      <c r="C9" s="44" t="inlineStr">
        <is>
          <t>Juan Rodriguez</t>
        </is>
      </c>
      <c r="D9" s="45" t="n">
        <v>800</v>
      </c>
      <c r="E9" s="47" t="inlineStr">
        <is>
          <t>out</t>
        </is>
      </c>
      <c r="F9" s="44" t="inlineStr">
        <is>
          <t>venta_credito</t>
        </is>
      </c>
      <c r="G9" s="44" t="inlineStr"/>
      <c r="H9" s="44" t="inlineStr">
        <is>
          <t>completed</t>
        </is>
      </c>
      <c r="I9" s="44" t="inlineStr">
        <is>
          <t>Mercancia paga el 15 de mayo</t>
        </is>
      </c>
    </row>
    <row r="10">
      <c r="A10" s="41" t="inlineStr">
        <is>
          <t>D-009</t>
        </is>
      </c>
      <c r="B10" s="41" t="inlineStr">
        <is>
          <t>2026-04-30</t>
        </is>
      </c>
      <c r="C10" s="41" t="inlineStr">
        <is>
          <t>Planilla Equipo</t>
        </is>
      </c>
      <c r="D10" s="42" t="n">
        <v>2500</v>
      </c>
      <c r="E10" s="48" t="inlineStr">
        <is>
          <t>out</t>
        </is>
      </c>
      <c r="F10" s="41" t="inlineStr">
        <is>
          <t>planilla</t>
        </is>
      </c>
      <c r="G10" s="41" t="inlineStr"/>
      <c r="H10" s="41" t="inlineStr">
        <is>
          <t>completed</t>
        </is>
      </c>
      <c r="I10" s="41" t="inlineStr">
        <is>
          <t>Quincena fin abril</t>
        </is>
      </c>
    </row>
    <row r="11">
      <c r="A11" s="44" t="inlineStr">
        <is>
          <t>D-010</t>
        </is>
      </c>
      <c r="B11" s="44" t="inlineStr">
        <is>
          <t>2026-04-29</t>
        </is>
      </c>
      <c r="C11" s="44" t="inlineStr">
        <is>
          <t>Aduana DAE</t>
        </is>
      </c>
      <c r="D11" s="45" t="n">
        <v>1350</v>
      </c>
      <c r="E11" s="47" t="inlineStr">
        <is>
          <t>out</t>
        </is>
      </c>
      <c r="F11" s="44" t="inlineStr">
        <is>
          <t>impuesto_gandola</t>
        </is>
      </c>
      <c r="G11" s="44" t="inlineStr"/>
      <c r="H11" s="44" t="inlineStr">
        <is>
          <t>completed</t>
        </is>
      </c>
      <c r="I11" s="44" t="inlineStr">
        <is>
          <t>Permiso ingreso Venezuela</t>
        </is>
      </c>
    </row>
    <row r="12">
      <c r="A12" s="41" t="inlineStr">
        <is>
          <t>D-011</t>
        </is>
      </c>
      <c r="B12" s="41" t="inlineStr">
        <is>
          <t>2026-04-28</t>
        </is>
      </c>
      <c r="C12" s="41" t="inlineStr">
        <is>
          <t>Luis Mendoza</t>
        </is>
      </c>
      <c r="D12" s="42" t="n">
        <v>1600</v>
      </c>
      <c r="E12" s="48" t="inlineStr">
        <is>
          <t>out</t>
        </is>
      </c>
      <c r="F12" s="41" t="inlineStr">
        <is>
          <t>pago_deuda_interes</t>
        </is>
      </c>
      <c r="G12" s="41" t="inlineStr"/>
      <c r="H12" s="41" t="inlineStr">
        <is>
          <t>completed</t>
        </is>
      </c>
      <c r="I12" s="41" t="inlineStr">
        <is>
          <t>Interes mensual abril (4%)</t>
        </is>
      </c>
    </row>
    <row r="13">
      <c r="A13" s="44" t="inlineStr">
        <is>
          <t>D-012</t>
        </is>
      </c>
      <c r="B13" s="44" t="inlineStr">
        <is>
          <t>2026-04-28</t>
        </is>
      </c>
      <c r="C13" s="44" t="inlineStr">
        <is>
          <t>Pedro Ramos</t>
        </is>
      </c>
      <c r="D13" s="45" t="n">
        <v>2500</v>
      </c>
      <c r="E13" s="47" t="inlineStr">
        <is>
          <t>out</t>
        </is>
      </c>
      <c r="F13" s="44" t="inlineStr">
        <is>
          <t>pago_deuda_interes</t>
        </is>
      </c>
      <c r="G13" s="44" t="inlineStr"/>
      <c r="H13" s="44" t="inlineStr">
        <is>
          <t>completed</t>
        </is>
      </c>
      <c r="I13" s="44" t="inlineStr">
        <is>
          <t>Interes mensual abril (5%)</t>
        </is>
      </c>
    </row>
    <row r="14">
      <c r="A14" s="41" t="inlineStr">
        <is>
          <t>D-013</t>
        </is>
      </c>
      <c r="B14" s="41" t="inlineStr">
        <is>
          <t>2026-04-27</t>
        </is>
      </c>
      <c r="C14" s="41" t="inlineStr">
        <is>
          <t>Logistica Andes</t>
        </is>
      </c>
      <c r="D14" s="42" t="n">
        <v>2800</v>
      </c>
      <c r="E14" s="48" t="inlineStr">
        <is>
          <t>out</t>
        </is>
      </c>
      <c r="F14" s="41" t="inlineStr">
        <is>
          <t>gasto_logistica</t>
        </is>
      </c>
      <c r="G14" s="41" t="inlineStr">
        <is>
          <t>WT2026050108821</t>
        </is>
      </c>
      <c r="H14" s="41" t="inlineStr">
        <is>
          <t>completed</t>
        </is>
      </c>
      <c r="I14" s="41" t="inlineStr">
        <is>
          <t>Flete contenedor #C-2204</t>
        </is>
      </c>
    </row>
    <row r="15">
      <c r="A15" s="44" t="inlineStr">
        <is>
          <t>D-014</t>
        </is>
      </c>
      <c r="B15" s="44" t="inlineStr">
        <is>
          <t>2026-04-26</t>
        </is>
      </c>
      <c r="C15" s="44" t="inlineStr">
        <is>
          <t>Gandola Beleva</t>
        </is>
      </c>
      <c r="D15" s="45" t="n">
        <v>4200</v>
      </c>
      <c r="E15" s="46" t="inlineStr">
        <is>
          <t>in</t>
        </is>
      </c>
      <c r="F15" s="44" t="inlineStr">
        <is>
          <t>retorno_gandola</t>
        </is>
      </c>
      <c r="G15" s="44" t="inlineStr"/>
      <c r="H15" s="44" t="inlineStr">
        <is>
          <t>completed</t>
        </is>
      </c>
      <c r="I15" s="44" t="inlineStr">
        <is>
          <t>Cierre viaje Caracas - efectivo</t>
        </is>
      </c>
    </row>
    <row r="16">
      <c r="A16" s="41" t="inlineStr">
        <is>
          <t>D-015</t>
        </is>
      </c>
      <c r="B16" s="41" t="inlineStr">
        <is>
          <t>2026-04-25</t>
        </is>
      </c>
      <c r="C16" s="41" t="inlineStr">
        <is>
          <t>Viaticos chofer</t>
        </is>
      </c>
      <c r="D16" s="42" t="n">
        <v>320</v>
      </c>
      <c r="E16" s="48" t="inlineStr">
        <is>
          <t>out</t>
        </is>
      </c>
      <c r="F16" s="41" t="inlineStr">
        <is>
          <t>viaticos</t>
        </is>
      </c>
      <c r="G16" s="41" t="inlineStr"/>
      <c r="H16" s="41" t="inlineStr">
        <is>
          <t>completed</t>
        </is>
      </c>
      <c r="I16" s="41" t="inlineStr">
        <is>
          <t>Comida + peajes Caracas</t>
        </is>
      </c>
    </row>
    <row r="17">
      <c r="A17" s="44" t="inlineStr">
        <is>
          <t>D-016</t>
        </is>
      </c>
      <c r="B17" s="44" t="inlineStr">
        <is>
          <t>2026-04-25</t>
        </is>
      </c>
      <c r="C17" s="44" t="inlineStr">
        <is>
          <t>Lucia Ramirez</t>
        </is>
      </c>
      <c r="D17" s="45" t="n">
        <v>650</v>
      </c>
      <c r="E17" s="46" t="inlineStr">
        <is>
          <t>in</t>
        </is>
      </c>
      <c r="F17" s="44" t="inlineStr">
        <is>
          <t>cobro_cliente</t>
        </is>
      </c>
      <c r="G17" s="44" t="inlineStr">
        <is>
          <t>POI234UYT</t>
        </is>
      </c>
      <c r="H17" s="44" t="inlineStr">
        <is>
          <t>completed</t>
        </is>
      </c>
      <c r="I17" s="44" t="inlineStr">
        <is>
          <t>Pago semanal restaurante</t>
        </is>
      </c>
    </row>
    <row r="18">
      <c r="A18" s="41" t="inlineStr">
        <is>
          <t>D-017</t>
        </is>
      </c>
      <c r="B18" s="41" t="inlineStr">
        <is>
          <t>2026-04-24</t>
        </is>
      </c>
      <c r="C18" s="41" t="inlineStr">
        <is>
          <t>Empresa XYZ</t>
        </is>
      </c>
      <c r="D18" s="42" t="n">
        <v>850</v>
      </c>
      <c r="E18" s="43" t="inlineStr">
        <is>
          <t>in</t>
        </is>
      </c>
      <c r="F18" s="41" t="inlineStr">
        <is>
          <t>cobro_cliente</t>
        </is>
      </c>
      <c r="G18" s="41" t="inlineStr">
        <is>
          <t>LKJ567HGF</t>
        </is>
      </c>
      <c r="H18" s="41" t="inlineStr">
        <is>
          <t>completed</t>
        </is>
      </c>
      <c r="I18" s="41" t="inlineStr">
        <is>
          <t>Pago factura abril</t>
        </is>
      </c>
    </row>
    <row r="19">
      <c r="A19" s="44" t="inlineStr">
        <is>
          <t>D-018</t>
        </is>
      </c>
      <c r="B19" s="44" t="inlineStr">
        <is>
          <t>2026-04-24</t>
        </is>
      </c>
      <c r="C19" s="44" t="inlineStr">
        <is>
          <t>Almacen Doral</t>
        </is>
      </c>
      <c r="D19" s="45" t="n">
        <v>780</v>
      </c>
      <c r="E19" s="47" t="inlineStr">
        <is>
          <t>out</t>
        </is>
      </c>
      <c r="F19" s="44" t="inlineStr">
        <is>
          <t>alquiler</t>
        </is>
      </c>
      <c r="G19" s="44" t="inlineStr"/>
      <c r="H19" s="44" t="inlineStr">
        <is>
          <t>completed</t>
        </is>
      </c>
      <c r="I19" s="44" t="inlineStr">
        <is>
          <t>Renta mayo galpon</t>
        </is>
      </c>
    </row>
    <row r="20">
      <c r="A20" s="41" t="inlineStr">
        <is>
          <t>D-019</t>
        </is>
      </c>
      <c r="B20" s="41" t="inlineStr">
        <is>
          <t>2026-04-23</t>
        </is>
      </c>
      <c r="C20" s="41" t="inlineStr">
        <is>
          <t>Pedro Lopez</t>
        </is>
      </c>
      <c r="D20" s="42" t="n">
        <v>400</v>
      </c>
      <c r="E20" s="43" t="inlineStr">
        <is>
          <t>in</t>
        </is>
      </c>
      <c r="F20" s="41" t="inlineStr">
        <is>
          <t>cobro_cliente</t>
        </is>
      </c>
      <c r="G20" s="41" t="inlineStr">
        <is>
          <t>MNB456VCX</t>
        </is>
      </c>
      <c r="H20" s="41" t="inlineStr">
        <is>
          <t>completed</t>
        </is>
      </c>
      <c r="I20" s="41" t="inlineStr">
        <is>
          <t>Pago semanal</t>
        </is>
      </c>
    </row>
    <row r="21">
      <c r="A21" s="44" t="inlineStr">
        <is>
          <t>D-020</t>
        </is>
      </c>
      <c r="B21" s="44" t="inlineStr">
        <is>
          <t>2026-04-22</t>
        </is>
      </c>
      <c r="C21" s="44" t="inlineStr">
        <is>
          <t>Restaurante Lima</t>
        </is>
      </c>
      <c r="D21" s="45" t="n">
        <v>450</v>
      </c>
      <c r="E21" s="46" t="inlineStr">
        <is>
          <t>in</t>
        </is>
      </c>
      <c r="F21" s="44" t="inlineStr">
        <is>
          <t>cobro_cliente</t>
        </is>
      </c>
      <c r="G21" s="44" t="inlineStr">
        <is>
          <t>QAZ123WSX</t>
        </is>
      </c>
      <c r="H21" s="44" t="inlineStr">
        <is>
          <t>completed</t>
        </is>
      </c>
      <c r="I21" s="44" t="inlineStr">
        <is>
          <t>Pago primera caja</t>
        </is>
      </c>
    </row>
    <row r="22">
      <c r="A22" s="41" t="inlineStr">
        <is>
          <t>D-021</t>
        </is>
      </c>
      <c r="B22" s="41" t="inlineStr">
        <is>
          <t>2026-04-22</t>
        </is>
      </c>
      <c r="C22" s="41" t="inlineStr">
        <is>
          <t>Combustible flota</t>
        </is>
      </c>
      <c r="D22" s="42" t="n">
        <v>240</v>
      </c>
      <c r="E22" s="48" t="inlineStr">
        <is>
          <t>out</t>
        </is>
      </c>
      <c r="F22" s="41" t="inlineStr">
        <is>
          <t>combustible</t>
        </is>
      </c>
      <c r="G22" s="41" t="inlineStr"/>
      <c r="H22" s="41" t="inlineStr">
        <is>
          <t>completed</t>
        </is>
      </c>
      <c r="I22" s="41" t="inlineStr">
        <is>
          <t>Gasolina 2 furgonetas</t>
        </is>
      </c>
    </row>
    <row r="23">
      <c r="A23" s="44" t="inlineStr">
        <is>
          <t>D-022</t>
        </is>
      </c>
      <c r="B23" s="44" t="inlineStr">
        <is>
          <t>2026-04-21</t>
        </is>
      </c>
      <c r="C23" s="44" t="inlineStr">
        <is>
          <t>Gandola Beleva</t>
        </is>
      </c>
      <c r="D23" s="45" t="n">
        <v>4500</v>
      </c>
      <c r="E23" s="47" t="inlineStr">
        <is>
          <t>out</t>
        </is>
      </c>
      <c r="F23" s="44" t="inlineStr">
        <is>
          <t>entrega_gandola</t>
        </is>
      </c>
      <c r="G23" s="44" t="inlineStr"/>
      <c r="H23" s="44" t="inlineStr">
        <is>
          <t>completed</t>
        </is>
      </c>
      <c r="I23" s="44" t="inlineStr">
        <is>
          <t>Capital nuevo viaje Maracaibo</t>
        </is>
      </c>
    </row>
    <row r="24">
      <c r="A24" s="41" t="inlineStr">
        <is>
          <t>D-023</t>
        </is>
      </c>
      <c r="B24" s="41" t="inlineStr">
        <is>
          <t>2026-04-20</t>
        </is>
      </c>
      <c r="C24" s="41" t="inlineStr">
        <is>
          <t>Asesoria Contable</t>
        </is>
      </c>
      <c r="D24" s="42" t="n">
        <v>480</v>
      </c>
      <c r="E24" s="48" t="inlineStr">
        <is>
          <t>out</t>
        </is>
      </c>
      <c r="F24" s="41" t="inlineStr">
        <is>
          <t>honorarios</t>
        </is>
      </c>
      <c r="G24" s="41" t="inlineStr"/>
      <c r="H24" s="41" t="inlineStr">
        <is>
          <t>completed</t>
        </is>
      </c>
      <c r="I24" s="41" t="inlineStr">
        <is>
          <t>Honorarios mensuales</t>
        </is>
      </c>
    </row>
    <row r="25">
      <c r="A25" s="44" t="inlineStr">
        <is>
          <t>D-024</t>
        </is>
      </c>
      <c r="B25" s="44" t="inlineStr">
        <is>
          <t>2026-04-19</t>
        </is>
      </c>
      <c r="C25" s="44" t="inlineStr">
        <is>
          <t>Carmona (cliente)</t>
        </is>
      </c>
      <c r="D25" s="45" t="n">
        <v>650</v>
      </c>
      <c r="E25" s="46" t="inlineStr">
        <is>
          <t>in</t>
        </is>
      </c>
      <c r="F25" s="44" t="inlineStr">
        <is>
          <t>cobro_credito</t>
        </is>
      </c>
      <c r="G25" s="44" t="inlineStr">
        <is>
          <t>VBN234ZAQ</t>
        </is>
      </c>
      <c r="H25" s="44" t="inlineStr">
        <is>
          <t>completed</t>
        </is>
      </c>
      <c r="I25" s="44" t="inlineStr">
        <is>
          <t>Cancela mercancia entregada el 5 abr</t>
        </is>
      </c>
    </row>
    <row r="26">
      <c r="A26" s="41" t="inlineStr">
        <is>
          <t>D-025</t>
        </is>
      </c>
      <c r="B26" s="41" t="inlineStr">
        <is>
          <t>2026-04-18</t>
        </is>
      </c>
      <c r="C26" s="41" t="inlineStr">
        <is>
          <t>Telefonia movil</t>
        </is>
      </c>
      <c r="D26" s="42" t="n">
        <v>85</v>
      </c>
      <c r="E26" s="48" t="inlineStr">
        <is>
          <t>out</t>
        </is>
      </c>
      <c r="F26" s="41" t="inlineStr">
        <is>
          <t>servicios</t>
        </is>
      </c>
      <c r="G26" s="41" t="inlineStr"/>
      <c r="H26" s="41" t="inlineStr">
        <is>
          <t>completed</t>
        </is>
      </c>
      <c r="I26" s="41" t="inlineStr">
        <is>
          <t>Plan business Verizon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4" customWidth="1" min="7" max="7"/>
    <col width="4" customWidth="1" min="8" max="8"/>
    <col width="30" customWidth="1" min="9" max="9"/>
    <col width="16" customWidth="1" min="10" max="10"/>
  </cols>
  <sheetData>
    <row r="2" ht="38" customHeight="1">
      <c r="B2" s="49" t="inlineStr">
        <is>
          <t>CASHFLOW DIARIO  ·  Mayo 2026</t>
        </is>
      </c>
    </row>
    <row r="3">
      <c r="B3" s="2" t="inlineStr">
        <is>
          <t>Movimientos consolidados por fecha. Ingresos / Gastos / Flujo / Saldo acumulado.</t>
        </is>
      </c>
      <c r="I3" s="50" t="inlineStr">
        <is>
          <t>Saldo inicial (Portada!E10):</t>
        </is>
      </c>
      <c r="J3" s="51">
        <f>Portada!E10</f>
        <v/>
      </c>
    </row>
    <row r="5" ht="28" customHeight="1">
      <c r="B5" s="52" t="inlineStr">
        <is>
          <t>Fecha</t>
        </is>
      </c>
      <c r="C5" s="52" t="inlineStr">
        <is>
          <t>Ingresos</t>
        </is>
      </c>
      <c r="D5" s="52" t="inlineStr">
        <is>
          <t>Gastos</t>
        </is>
      </c>
      <c r="E5" s="52" t="inlineStr">
        <is>
          <t>Flujo Neto</t>
        </is>
      </c>
      <c r="F5" s="52" t="inlineStr">
        <is>
          <t>Saldo Acumulado</t>
        </is>
      </c>
    </row>
    <row r="6">
      <c r="B6" s="38" t="inlineStr">
        <is>
          <t>2026-04-22</t>
        </is>
      </c>
      <c r="C6" s="53">
        <f>SUMIFS(Transacciones!D:D,Transacciones!E:E,"in",Transacciones!B:B,"2026-04-22")</f>
        <v/>
      </c>
      <c r="D6" s="54">
        <f>SUMIFS(Transacciones!D:D,Transacciones!E:E,"out",Transacciones!B:B,"2026-04-22")</f>
        <v/>
      </c>
      <c r="E6" s="55">
        <f>C6-D6</f>
        <v/>
      </c>
      <c r="F6" s="51">
        <f>$J$3+E6</f>
        <v/>
      </c>
    </row>
    <row r="7">
      <c r="B7" s="38" t="inlineStr">
        <is>
          <t>2026-04-23</t>
        </is>
      </c>
      <c r="C7" s="53">
        <f>SUMIFS(Transacciones!D:D,Transacciones!E:E,"in",Transacciones!B:B,"2026-04-23")</f>
        <v/>
      </c>
      <c r="D7" s="54">
        <f>SUMIFS(Transacciones!D:D,Transacciones!E:E,"out",Transacciones!B:B,"2026-04-23")</f>
        <v/>
      </c>
      <c r="E7" s="55">
        <f>C7-D7</f>
        <v/>
      </c>
      <c r="F7" s="51">
        <f>F6+E7</f>
        <v/>
      </c>
    </row>
    <row r="8">
      <c r="B8" s="38" t="inlineStr">
        <is>
          <t>2026-04-24</t>
        </is>
      </c>
      <c r="C8" s="53">
        <f>SUMIFS(Transacciones!D:D,Transacciones!E:E,"in",Transacciones!B:B,"2026-04-24")</f>
        <v/>
      </c>
      <c r="D8" s="54">
        <f>SUMIFS(Transacciones!D:D,Transacciones!E:E,"out",Transacciones!B:B,"2026-04-24")</f>
        <v/>
      </c>
      <c r="E8" s="55">
        <f>C8-D8</f>
        <v/>
      </c>
      <c r="F8" s="51">
        <f>F7+E8</f>
        <v/>
      </c>
    </row>
    <row r="9">
      <c r="B9" s="38" t="inlineStr">
        <is>
          <t>2026-04-25</t>
        </is>
      </c>
      <c r="C9" s="53">
        <f>SUMIFS(Transacciones!D:D,Transacciones!E:E,"in",Transacciones!B:B,"2026-04-25")</f>
        <v/>
      </c>
      <c r="D9" s="54">
        <f>SUMIFS(Transacciones!D:D,Transacciones!E:E,"out",Transacciones!B:B,"2026-04-25")</f>
        <v/>
      </c>
      <c r="E9" s="55">
        <f>C9-D9</f>
        <v/>
      </c>
      <c r="F9" s="51">
        <f>F8+E9</f>
        <v/>
      </c>
    </row>
    <row r="10">
      <c r="B10" s="38" t="inlineStr">
        <is>
          <t>2026-04-26</t>
        </is>
      </c>
      <c r="C10" s="53">
        <f>SUMIFS(Transacciones!D:D,Transacciones!E:E,"in",Transacciones!B:B,"2026-04-26")</f>
        <v/>
      </c>
      <c r="D10" s="54">
        <f>SUMIFS(Transacciones!D:D,Transacciones!E:E,"out",Transacciones!B:B,"2026-04-26")</f>
        <v/>
      </c>
      <c r="E10" s="55">
        <f>Portada!E10</f>
        <v/>
      </c>
      <c r="F10" s="51">
        <f>F9+E10</f>
        <v/>
      </c>
    </row>
    <row r="11">
      <c r="B11" s="38" t="inlineStr">
        <is>
          <t>2026-04-27</t>
        </is>
      </c>
      <c r="C11" s="53">
        <f>SUMIFS(Transacciones!D:D,Transacciones!E:E,"in",Transacciones!B:B,"2026-04-27")</f>
        <v/>
      </c>
      <c r="D11" s="54">
        <f>SUMIFS(Transacciones!D:D,Transacciones!E:E,"out",Transacciones!B:B,"2026-04-27")</f>
        <v/>
      </c>
      <c r="E11" s="55">
        <f>C11-D11</f>
        <v/>
      </c>
      <c r="F11" s="51">
        <f>F10+E11</f>
        <v/>
      </c>
    </row>
    <row r="12">
      <c r="B12" s="38" t="inlineStr">
        <is>
          <t>2026-04-28</t>
        </is>
      </c>
      <c r="C12" s="53">
        <f>SUMIFS(Transacciones!D:D,Transacciones!E:E,"in",Transacciones!B:B,"2026-04-28")</f>
        <v/>
      </c>
      <c r="D12" s="54">
        <f>SUMIFS(Transacciones!D:D,Transacciones!E:E,"out",Transacciones!B:B,"2026-04-28")</f>
        <v/>
      </c>
      <c r="E12" s="55">
        <f>C12-D12</f>
        <v/>
      </c>
      <c r="F12" s="51">
        <f>F11+E12</f>
        <v/>
      </c>
    </row>
    <row r="13">
      <c r="B13" s="38" t="inlineStr">
        <is>
          <t>2026-04-29</t>
        </is>
      </c>
      <c r="C13" s="53">
        <f>SUMIFS(Transacciones!D:D,Transacciones!E:E,"in",Transacciones!B:B,"2026-04-29")</f>
        <v/>
      </c>
      <c r="D13" s="54">
        <f>SUMIFS(Transacciones!D:D,Transacciones!E:E,"out",Transacciones!B:B,"2026-04-29")</f>
        <v/>
      </c>
      <c r="E13" s="55">
        <f>C13-D13</f>
        <v/>
      </c>
      <c r="F13" s="51">
        <f>F12+E13</f>
        <v/>
      </c>
    </row>
    <row r="14">
      <c r="B14" s="38" t="inlineStr">
        <is>
          <t>2026-04-30</t>
        </is>
      </c>
      <c r="C14" s="53">
        <f>SUMIFS(Transacciones!D:D,Transacciones!E:E,"in",Transacciones!B:B,"2026-04-30")</f>
        <v/>
      </c>
      <c r="D14" s="54">
        <f>SUMIFS(Transacciones!D:D,Transacciones!E:E,"out",Transacciones!B:B,"2026-04-30")</f>
        <v/>
      </c>
      <c r="E14" s="55">
        <f>C14-D14</f>
        <v/>
      </c>
      <c r="F14" s="51">
        <f>F13+E14</f>
        <v/>
      </c>
    </row>
    <row r="15">
      <c r="B15" s="38" t="inlineStr">
        <is>
          <t>2026-05-01</t>
        </is>
      </c>
      <c r="C15" s="53">
        <f>SUMIFS(Transacciones!D:D,Transacciones!E:E,"in",Transacciones!B:B,"2026-05-01")</f>
        <v/>
      </c>
      <c r="D15" s="54">
        <f>SUMIFS(Transacciones!D:D,Transacciones!E:E,"out",Transacciones!B:B,"2026-05-01")</f>
        <v/>
      </c>
      <c r="E15" s="55">
        <f>C15-D15</f>
        <v/>
      </c>
      <c r="F15" s="51">
        <f>F14+E15</f>
        <v/>
      </c>
    </row>
    <row r="16">
      <c r="B16" s="38" t="inlineStr">
        <is>
          <t>2026-05-02</t>
        </is>
      </c>
      <c r="C16" s="53">
        <f>SUMIFS(Transacciones!D:D,Transacciones!E:E,"in",Transacciones!B:B,"2026-05-02")</f>
        <v/>
      </c>
      <c r="D16" s="54">
        <f>SUMIFS(Transacciones!D:D,Transacciones!E:E,"out",Transacciones!B:B,"2026-05-02")</f>
        <v/>
      </c>
      <c r="E16" s="55">
        <f>C16-D16</f>
        <v/>
      </c>
      <c r="F16" s="51">
        <f>F15+E16</f>
        <v/>
      </c>
    </row>
    <row r="17">
      <c r="B17" s="38" t="inlineStr">
        <is>
          <t>2026-05-03</t>
        </is>
      </c>
      <c r="C17" s="53">
        <f>SUMIFS(Transacciones!D:D,Transacciones!E:E,"in",Transacciones!B:B,"2026-05-03")</f>
        <v/>
      </c>
      <c r="D17" s="54">
        <f>SUMIFS(Transacciones!D:D,Transacciones!E:E,"out",Transacciones!B:B,"2026-05-03")</f>
        <v/>
      </c>
      <c r="E17" s="55">
        <f>C17-D17</f>
        <v/>
      </c>
      <c r="F17" s="51">
        <f>F16+E17</f>
        <v/>
      </c>
    </row>
    <row r="18">
      <c r="B18" s="38" t="inlineStr">
        <is>
          <t>2026-05-04</t>
        </is>
      </c>
      <c r="C18" s="53">
        <f>SUMIFS(Transacciones!D:D,Transacciones!E:E,"in",Transacciones!B:B,"2026-05-04")</f>
        <v/>
      </c>
      <c r="D18" s="54">
        <f>SUMIFS(Transacciones!D:D,Transacciones!E:E,"out",Transacciones!B:B,"2026-05-04")</f>
        <v/>
      </c>
      <c r="E18" s="55">
        <f>C18-D18</f>
        <v/>
      </c>
      <c r="F18" s="51">
        <f>F17+E18</f>
        <v/>
      </c>
    </row>
    <row r="19">
      <c r="B19" s="56" t="inlineStr">
        <is>
          <t>TOTAL PERIODO</t>
        </is>
      </c>
      <c r="C19" s="57">
        <f>SUM(C6:C18)</f>
        <v/>
      </c>
      <c r="D19" s="58">
        <f>SUM(D6:D18)</f>
        <v/>
      </c>
      <c r="E19" s="59">
        <f>C19-D19</f>
        <v/>
      </c>
      <c r="F19" s="60">
        <f>F18</f>
        <v/>
      </c>
    </row>
  </sheetData>
  <mergeCells count="2">
    <mergeCell ref="B3:G3"/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8" customWidth="1" min="7" max="7"/>
    <col width="16" customWidth="1" min="8" max="8"/>
    <col width="16" customWidth="1" min="9" max="9"/>
    <col width="12" customWidth="1" min="10" max="10"/>
    <col width="12" customWidth="1" min="11" max="11"/>
    <col width="18" customWidth="1" min="12" max="12"/>
    <col width="14" customWidth="1" min="13" max="13"/>
    <col width="38" customWidth="1" min="14" max="14"/>
  </cols>
  <sheetData>
    <row r="1" ht="32" customHeight="1">
      <c r="A1" s="1" t="inlineStr">
        <is>
          <t>DEUDAS  ·  Por cobrar / Por pagar</t>
        </is>
      </c>
    </row>
    <row r="3" ht="26" customHeight="1">
      <c r="A3" s="22" t="inlineStr">
        <is>
          <t>Deudor / Acreedor</t>
        </is>
      </c>
      <c r="B3" s="22" t="inlineStr">
        <is>
          <t>Tipo</t>
        </is>
      </c>
      <c r="C3" s="22" t="inlineStr">
        <is>
          <t>Capital Original</t>
        </is>
      </c>
      <c r="D3" s="22" t="inlineStr">
        <is>
          <t>Fecha Inicio</t>
        </is>
      </c>
      <c r="E3" s="22" t="inlineStr">
        <is>
          <t>Tasa Mensual %</t>
        </is>
      </c>
      <c r="F3" s="22" t="inlineStr">
        <is>
          <t>Meses Transc.</t>
        </is>
      </c>
      <c r="G3" s="22" t="inlineStr">
        <is>
          <t>Interes Mensual Fijo</t>
        </is>
      </c>
      <c r="H3" s="22" t="inlineStr">
        <is>
          <t>Pagos a Capital</t>
        </is>
      </c>
      <c r="I3" s="22" t="inlineStr">
        <is>
          <t>Saldo Vivo</t>
        </is>
      </c>
      <c r="J3" s="22" t="inlineStr">
        <is>
          <t>Fecha Vcto.</t>
        </is>
      </c>
      <c r="K3" s="22" t="inlineStr">
        <is>
          <t>Dias p/Vcto.</t>
        </is>
      </c>
      <c r="L3" s="22" t="inlineStr">
        <is>
          <t>Forma de Pago</t>
        </is>
      </c>
      <c r="M3" s="22" t="inlineStr">
        <is>
          <t>Status</t>
        </is>
      </c>
      <c r="N3" s="22" t="inlineStr">
        <is>
          <t>Notas</t>
        </is>
      </c>
    </row>
    <row r="4">
      <c r="A4" s="61" t="inlineStr">
        <is>
          <t>Luis Mendoza</t>
        </is>
      </c>
      <c r="B4" s="61" t="inlineStr">
        <is>
          <t>Por Pagar</t>
        </is>
      </c>
      <c r="C4" s="62" t="n">
        <v>40000</v>
      </c>
      <c r="D4" s="61" t="inlineStr">
        <is>
          <t>2025-12-15</t>
        </is>
      </c>
      <c r="E4" s="63" t="n">
        <v>4</v>
      </c>
      <c r="F4" s="61" t="n">
        <v>4</v>
      </c>
      <c r="G4" s="64" t="n">
        <v>1600</v>
      </c>
      <c r="H4" s="64" t="n">
        <v>0</v>
      </c>
      <c r="I4" s="65" t="n">
        <v>40000</v>
      </c>
      <c r="J4" s="61" t="inlineStr"/>
      <c r="K4" s="61" t="inlineStr"/>
      <c r="L4" s="61" t="inlineStr">
        <is>
          <t>Transferencia mensual</t>
        </is>
      </c>
      <c r="M4" s="61" t="inlineStr">
        <is>
          <t>Sin vcto.</t>
        </is>
      </c>
      <c r="N4" s="61" t="inlineStr">
        <is>
          <t>Prestamo dic 2025. Capital $40,000. Interes 4% mensual fijo $1,600. Solo se pagan intereses; capital intacto.</t>
        </is>
      </c>
    </row>
    <row r="5">
      <c r="A5" s="61" t="inlineStr">
        <is>
          <t>Pedro Ramos</t>
        </is>
      </c>
      <c r="B5" s="61" t="inlineStr">
        <is>
          <t>Por Pagar</t>
        </is>
      </c>
      <c r="C5" s="62" t="n">
        <v>50000</v>
      </c>
      <c r="D5" s="61" t="inlineStr">
        <is>
          <t>2025-12-15</t>
        </is>
      </c>
      <c r="E5" s="63" t="n">
        <v>5</v>
      </c>
      <c r="F5" s="61" t="n">
        <v>4</v>
      </c>
      <c r="G5" s="64" t="n">
        <v>2500</v>
      </c>
      <c r="H5" s="64" t="n">
        <v>0</v>
      </c>
      <c r="I5" s="65" t="n">
        <v>50000</v>
      </c>
      <c r="J5" s="61" t="inlineStr"/>
      <c r="K5" s="61" t="inlineStr"/>
      <c r="L5" s="61" t="inlineStr">
        <is>
          <t>Transferencia mensual</t>
        </is>
      </c>
      <c r="M5" s="61" t="inlineStr">
        <is>
          <t>Sin vcto.</t>
        </is>
      </c>
      <c r="N5" s="61" t="inlineStr">
        <is>
          <t>Prestamo dic 2025. Capital $50,000. Interes 5% mensual fijo $2,500. Solo se pagan intereses; capital intacto.</t>
        </is>
      </c>
    </row>
    <row r="10">
      <c r="A10" s="66" t="inlineStr">
        <is>
          <t>TOTAL POR PAGAR</t>
        </is>
      </c>
      <c r="C10" s="60" t="n">
        <v>90000</v>
      </c>
      <c r="G10" s="67" t="n">
        <v>4100</v>
      </c>
      <c r="I10" s="68" t="n">
        <v>90000</v>
      </c>
    </row>
    <row r="14">
      <c r="A14" s="69" t="inlineStr">
        <is>
          <t>CREDITO ROTATIVO PROVEEDOR</t>
        </is>
      </c>
    </row>
    <row r="15">
      <c r="A15" s="35" t="inlineStr">
        <is>
          <t>Proveedor</t>
        </is>
      </c>
      <c r="B15" s="35" t="inlineStr">
        <is>
          <t>Cisterna Pendiente</t>
        </is>
      </c>
      <c r="C15" s="35" t="inlineStr">
        <is>
          <t>Monto</t>
        </is>
      </c>
      <c r="D15" s="35" t="inlineStr">
        <is>
          <t>Fecha Entrega</t>
        </is>
      </c>
    </row>
    <row r="16">
      <c r="A16" s="70" t="inlineStr">
        <is>
          <t>Olivar Andaluz S.L.</t>
        </is>
      </c>
      <c r="B16" s="71" t="inlineStr">
        <is>
          <t>Cisterna 18 (OL180)</t>
        </is>
      </c>
      <c r="C16" s="51" t="n">
        <v>58420.5</v>
      </c>
      <c r="D16" s="71" t="inlineStr">
        <is>
          <t>2026-05-22</t>
        </is>
      </c>
    </row>
  </sheetData>
  <mergeCells count="2">
    <mergeCell ref="A14:E1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22" customWidth="1" min="3" max="3"/>
  </cols>
  <sheetData>
    <row r="2">
      <c r="B2" s="72" t="inlineStr">
        <is>
          <t>KPIs (referencia tecnica)</t>
        </is>
      </c>
    </row>
    <row r="5">
      <c r="B5" s="73" t="inlineStr">
        <is>
          <t>Total Ingresos</t>
        </is>
      </c>
      <c r="C5" s="74">
        <f>SUMIFS(Transacciones!D:D,Transacciones!E:E,"in")</f>
        <v/>
      </c>
    </row>
    <row r="6">
      <c r="B6" s="73" t="inlineStr">
        <is>
          <t>Total Gastos</t>
        </is>
      </c>
      <c r="C6" s="74">
        <f>SUMIFS(Transacciones!D:D,Transacciones!E:E,"out")</f>
        <v/>
      </c>
    </row>
    <row r="7">
      <c r="B7" s="73" t="inlineStr">
        <is>
          <t>Flujo Neto</t>
        </is>
      </c>
      <c r="C7" s="74">
        <f>C5-C6</f>
        <v/>
      </c>
    </row>
    <row r="8">
      <c r="B8" s="73" t="inlineStr">
        <is>
          <t># Cobros</t>
        </is>
      </c>
      <c r="C8" s="75">
        <f>COUNTIFS(Transacciones!E:E,"in")</f>
        <v/>
      </c>
    </row>
    <row r="9">
      <c r="B9" s="73" t="inlineStr">
        <is>
          <t># Pagos</t>
        </is>
      </c>
      <c r="C9" s="75">
        <f>COUNTIFS(Transacciones!E:E,"out")</f>
        <v/>
      </c>
    </row>
    <row r="10">
      <c r="B10" s="73" t="inlineStr">
        <is>
          <t>Banco (calculado)</t>
        </is>
      </c>
      <c r="C10" s="74">
        <f>Portada!C12</f>
        <v/>
      </c>
    </row>
    <row r="11">
      <c r="B11" s="73" t="inlineStr">
        <is>
          <t>Gandolas (calculado)</t>
        </is>
      </c>
      <c r="C11" s="74">
        <f>Portada!E12</f>
        <v/>
      </c>
    </row>
    <row r="12">
      <c r="B12" s="73" t="inlineStr">
        <is>
          <t>Por Cobrar (calculado)</t>
        </is>
      </c>
      <c r="C12" s="74">
        <f>Portada!G12</f>
        <v/>
      </c>
    </row>
    <row r="13">
      <c r="B13" s="73" t="inlineStr">
        <is>
          <t>Total Trazado</t>
        </is>
      </c>
      <c r="C13" s="74">
        <f>Portada!B8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2026-05-04T18:33:57Z</dcterms:created>
  <dcterms:modified xmlns:dcterms="http://purl.org/dc/terms/" xmlns:xsi="http://www.w3.org/2001/XMLSchema-instance" xsi:type="dcterms:W3CDTF">2026-05-04T18:33:58Z</dcterms:modified>
</cp:coreProperties>
</file>