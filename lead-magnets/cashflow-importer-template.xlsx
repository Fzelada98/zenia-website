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Transacciones" sheetId="2" state="visible" r:id="rId2"/>
    <sheet xmlns:r="http://schemas.openxmlformats.org/officeDocument/2006/relationships" name="Guia Categorias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8">
    <font>
      <name val="Calibri"/>
      <family val="2"/>
      <color theme="1"/>
      <sz val="11"/>
      <scheme val="minor"/>
    </font>
    <font>
      <b val="1"/>
      <color rgb="000F172A"/>
      <sz val="22"/>
    </font>
    <font>
      <i val="1"/>
      <color rgb="0064748B"/>
      <sz val="13"/>
    </font>
    <font>
      <color rgb="002563EB"/>
      <sz val="11"/>
    </font>
    <font>
      <b val="1"/>
      <color rgb="000F172A"/>
      <sz val="14"/>
    </font>
    <font>
      <color rgb="001A1A1A"/>
      <sz val="11"/>
    </font>
    <font>
      <b val="1"/>
      <color rgb="00D4B88C"/>
      <sz val="12"/>
    </font>
    <font>
      <b val="1"/>
      <color rgb="000F172A"/>
      <sz val="10"/>
    </font>
    <font>
      <b val="1"/>
      <color rgb="002563EB"/>
      <sz val="18"/>
    </font>
    <font>
      <i val="1"/>
      <color rgb="0064748B"/>
      <sz val="9"/>
    </font>
    <font>
      <i val="1"/>
      <color rgb="0064748B"/>
      <sz val="11"/>
    </font>
    <font>
      <b val="1"/>
      <color rgb="002563EB"/>
      <sz val="11"/>
    </font>
    <font>
      <color rgb="002563EB"/>
      <sz val="11"/>
      <u val="single"/>
    </font>
    <font>
      <b val="1"/>
      <color rgb="00D4B88C"/>
      <sz val="11"/>
    </font>
    <font>
      <i val="1"/>
      <color rgb="0094A3B8"/>
      <sz val="10"/>
    </font>
    <font>
      <b val="1"/>
      <i val="1"/>
      <color rgb="00DC2626"/>
      <sz val="10"/>
    </font>
    <font>
      <b val="1"/>
      <color rgb="000F172A"/>
      <sz val="18"/>
    </font>
    <font>
      <b val="1"/>
      <color rgb="001E40AF"/>
      <sz val="11"/>
    </font>
    <font>
      <color rgb="001A1A1A"/>
      <sz val="10"/>
    </font>
    <font>
      <i val="1"/>
      <color rgb="0064748B"/>
      <sz val="10"/>
    </font>
    <font>
      <b val="1"/>
      <color rgb="00166534"/>
      <sz val="11"/>
    </font>
    <font>
      <b val="1"/>
      <color rgb="005B21B6"/>
      <sz val="11"/>
    </font>
    <font>
      <b val="1"/>
      <color rgb="00991B1B"/>
      <sz val="11"/>
    </font>
    <font>
      <b val="1"/>
      <color rgb="0092400E"/>
      <sz val="11"/>
    </font>
    <font>
      <b val="1"/>
      <color rgb="009A3412"/>
      <sz val="11"/>
    </font>
    <font>
      <b val="1"/>
      <color rgb="00475569"/>
      <sz val="11"/>
    </font>
    <font>
      <b val="1"/>
      <color rgb="000F172A"/>
      <sz val="16"/>
    </font>
    <font>
      <b val="1"/>
      <color rgb="002563EB"/>
      <sz val="12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4" fontId="11" fillId="3" borderId="0" pivotButton="0" quotePrefix="0" xfId="0"/>
    <xf numFmtId="164" fontId="8" fillId="5" borderId="0" applyAlignment="1" pivotButton="0" quotePrefix="0" xfId="0">
      <alignment horizontal="center" vertical="center"/>
    </xf>
    <xf numFmtId="164" fontId="8" fillId="6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2" fillId="0" borderId="0" pivotButton="0" quotePrefix="0" xfId="0"/>
    <xf numFmtId="0" fontId="13" fillId="2" borderId="1" applyAlignment="1" pivotButton="0" quotePrefix="0" xfId="0">
      <alignment horizontal="center" vertical="center"/>
    </xf>
    <xf numFmtId="0" fontId="14" fillId="0" borderId="1" pivotButton="0" quotePrefix="0" xfId="0"/>
    <xf numFmtId="0" fontId="15" fillId="0" borderId="0" pivotButton="0" quotePrefix="0" xfId="0"/>
    <xf numFmtId="0" fontId="16" fillId="0" borderId="0" pivotButton="0" quotePrefix="0" xfId="0"/>
    <xf numFmtId="0" fontId="10" fillId="0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6" borderId="0" pivotButton="0" quotePrefix="0" xfId="0"/>
    <xf numFmtId="0" fontId="18" fillId="6" borderId="0" pivotButton="0" quotePrefix="0" xfId="0"/>
    <xf numFmtId="0" fontId="19" fillId="6" borderId="0" pivotButton="0" quotePrefix="0" xfId="0"/>
    <xf numFmtId="0" fontId="21" fillId="7" borderId="0" pivotButton="0" quotePrefix="0" xfId="0"/>
    <xf numFmtId="0" fontId="18" fillId="7" borderId="0" pivotButton="0" quotePrefix="0" xfId="0"/>
    <xf numFmtId="0" fontId="19" fillId="7" borderId="0" pivotButton="0" quotePrefix="0" xfId="0"/>
    <xf numFmtId="0" fontId="22" fillId="8" borderId="0" pivotButton="0" quotePrefix="0" xfId="0"/>
    <xf numFmtId="0" fontId="18" fillId="8" borderId="0" pivotButton="0" quotePrefix="0" xfId="0"/>
    <xf numFmtId="0" fontId="19" fillId="8" borderId="0" pivotButton="0" quotePrefix="0" xfId="0"/>
    <xf numFmtId="0" fontId="23" fillId="4" borderId="0" pivotButton="0" quotePrefix="0" xfId="0"/>
    <xf numFmtId="0" fontId="18" fillId="4" borderId="0" pivotButton="0" quotePrefix="0" xfId="0"/>
    <xf numFmtId="0" fontId="19" fillId="4" borderId="0" pivotButton="0" quotePrefix="0" xfId="0"/>
    <xf numFmtId="0" fontId="24" fillId="5" borderId="0" pivotButton="0" quotePrefix="0" xfId="0"/>
    <xf numFmtId="0" fontId="18" fillId="5" borderId="0" pivotButton="0" quotePrefix="0" xfId="0"/>
    <xf numFmtId="0" fontId="19" fillId="5" borderId="0" pivotButton="0" quotePrefix="0" xfId="0"/>
    <xf numFmtId="0" fontId="25" fillId="9" borderId="0" pivotButton="0" quotePrefix="0" xfId="0"/>
    <xf numFmtId="0" fontId="18" fillId="9" borderId="0" pivotButton="0" quotePrefix="0" xfId="0"/>
    <xf numFmtId="0" fontId="19" fillId="9" borderId="0" pivotButton="0" quotePrefix="0" xfId="0"/>
    <xf numFmtId="0" fontId="26" fillId="0" borderId="0" pivotButton="0" quotePrefix="0" xfId="0"/>
    <xf numFmtId="164" fontId="27" fillId="0" borderId="0" pivotButton="0" quotePrefix="0" xfId="0"/>
    <xf numFmtId="3" fontId="2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3" customWidth="1" min="9" max="9"/>
  </cols>
  <sheetData>
    <row r="2">
      <c r="B2" s="1" t="inlineStr">
        <is>
          <t>CASHFLOW TEMPLATE</t>
        </is>
      </c>
    </row>
    <row r="3">
      <c r="B3" s="2" t="inlineStr">
        <is>
          <t>Para importadoras y PYMEs que reciben Zelle / transferencias</t>
        </is>
      </c>
    </row>
    <row r="5">
      <c r="B5" s="3" t="inlineStr">
        <is>
          <t>Powered by ZENIA  -  zeniapartners.com</t>
        </is>
      </c>
    </row>
    <row r="7">
      <c r="B7" s="4" t="inlineStr">
        <is>
          <t>Como usar este template</t>
        </is>
      </c>
    </row>
    <row r="8">
      <c r="B8" s="5" t="inlineStr">
        <is>
          <t>1. Hacer una copia a tu Google Drive (Archivo, Hacer una copia)</t>
        </is>
      </c>
    </row>
    <row r="9">
      <c r="B9" s="5" t="inlineStr">
        <is>
          <t>2. Ir a la pestana Transacciones y registrar cada Zelle/transferencia</t>
        </is>
      </c>
    </row>
    <row r="10">
      <c r="B10" s="5" t="inlineStr">
        <is>
          <t>3. Categorizar cada movimiento (cobro_cliente, gasto_logistica, etc)</t>
        </is>
      </c>
    </row>
    <row r="11">
      <c r="B11" s="5" t="inlineStr">
        <is>
          <t>4. Volver a esta portada para ver tus 3 buckets de efectivo automaticos</t>
        </is>
      </c>
    </row>
    <row r="12">
      <c r="B12" s="5" t="inlineStr">
        <is>
          <t>5. Editar el saldo inicial banco en E18 con tu saldo real al inicio</t>
        </is>
      </c>
    </row>
    <row r="15" ht="30" customHeight="1">
      <c r="B15" s="6" t="inlineStr">
        <is>
          <t>TRAZABILIDAD DEL EFECTIVO (calculada automaticamente)</t>
        </is>
      </c>
    </row>
    <row r="17" ht="22" customHeight="1">
      <c r="B17" s="7" t="inlineStr">
        <is>
          <t>EFECTIVO EN BANCO</t>
        </is>
      </c>
      <c r="D17" s="8" t="inlineStr">
        <is>
          <t>DINERO EN GANDOLAS</t>
        </is>
      </c>
      <c r="F17" s="9" t="inlineStr">
        <is>
          <t>CUENTAS POR COBRAR</t>
        </is>
      </c>
      <c r="H17" s="10" t="inlineStr">
        <is>
          <t>TOTAL TRAZADO</t>
        </is>
      </c>
    </row>
    <row r="18" ht="50" customHeight="1">
      <c r="B18" s="11">
        <f>E18+SUMIFS(Transacciones!D:D,Transacciones!E:E,"in")-SUMIFS(Transacciones!D:D,Transacciones!E:E,"out")-(SUMIFS(Transacciones!D:D,Transacciones!F:F,"entrega_gandola")-SUMIFS(Transacciones!D:D,Transacciones!F:F,"retorno_gandola"))-(SUMIFS(Transacciones!D:D,Transacciones!F:F,"venta_credito")-SUMIFS(Transacciones!D:D,Transacciones!F:F,"cobro_credito"))</f>
        <v/>
      </c>
      <c r="D18" s="12">
        <f>SUMIFS(Transacciones!D:D,Transacciones!F:F,"entrega_gandola")-SUMIFS(Transacciones!D:D,Transacciones!F:F,"retorno_gandola")</f>
        <v/>
      </c>
      <c r="E18" s="13" t="n">
        <v>0</v>
      </c>
      <c r="F18" s="14">
        <f>SUMIFS(Transacciones!D:D,Transacciones!F:F,"venta_credito")-SUMIFS(Transacciones!D:D,Transacciones!F:F,"cobro_credito")</f>
        <v/>
      </c>
      <c r="H18" s="15">
        <f>B18+D18+F18</f>
        <v/>
      </c>
    </row>
    <row r="19" ht="18" customHeight="1">
      <c r="B19" s="16" t="inlineStr">
        <is>
          <t>Saldo liquido disponible</t>
        </is>
      </c>
      <c r="D19" s="17" t="inlineStr">
        <is>
          <t>Capital en transito</t>
        </is>
      </c>
      <c r="F19" s="18" t="inlineStr">
        <is>
          <t>Pendiente de cobrar</t>
        </is>
      </c>
      <c r="H19" s="19" t="inlineStr">
        <is>
          <t>Suma de los 3</t>
        </is>
      </c>
    </row>
    <row r="21">
      <c r="B21" s="20" t="inlineStr">
        <is>
          <t>SALDO INICIAL BANCO (editable):</t>
        </is>
      </c>
    </row>
    <row r="30">
      <c r="B30" s="4" t="inlineStr">
        <is>
          <t>Quieres que esto trabaje SOLO?</t>
        </is>
      </c>
    </row>
    <row r="31">
      <c r="B31" s="5" t="inlineStr">
        <is>
          <t>Manda capturas a Gaia (asistente IA por WhatsApp), ella categoriza y registra.</t>
        </is>
      </c>
    </row>
    <row r="32">
      <c r="B32" s="21" t="inlineStr">
        <is>
          <t>Caso: zeniapartners.com/cases/whatsapp-bookkeeping-importer.html</t>
        </is>
      </c>
    </row>
    <row r="33">
      <c r="B33" s="21" t="inlineStr">
        <is>
          <t>Agenda 30 min: calendly.com/zeladauriartef/30min</t>
        </is>
      </c>
    </row>
  </sheetData>
  <mergeCells count="2">
    <mergeCell ref="B21:D21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1" customWidth="1" min="5" max="5"/>
    <col width="22" customWidth="1" min="6" max="6"/>
    <col width="14" customWidth="1" min="7" max="7"/>
    <col width="12" customWidth="1" min="8" max="8"/>
    <col width="28" customWidth="1" min="9" max="9"/>
  </cols>
  <sheetData>
    <row r="1" ht="32" customHeight="1">
      <c r="A1" s="22" t="inlineStr">
        <is>
          <t>ID</t>
        </is>
      </c>
      <c r="B1" s="22" t="inlineStr">
        <is>
          <t>Fecha</t>
        </is>
      </c>
      <c r="C1" s="22" t="inlineStr">
        <is>
          <t>Nombre</t>
        </is>
      </c>
      <c r="D1" s="22" t="inlineStr">
        <is>
          <t>Monto</t>
        </is>
      </c>
      <c r="E1" s="22" t="inlineStr">
        <is>
          <t>Direccion</t>
        </is>
      </c>
      <c r="F1" s="22" t="inlineStr">
        <is>
          <t>Categoria</t>
        </is>
      </c>
      <c r="G1" s="22" t="inlineStr">
        <is>
          <t>Conf#</t>
        </is>
      </c>
      <c r="H1" s="22" t="inlineStr">
        <is>
          <t>Estado</t>
        </is>
      </c>
      <c r="I1" s="22" t="inlineStr">
        <is>
          <t>Notas</t>
        </is>
      </c>
    </row>
    <row r="2">
      <c r="A2" s="23" t="inlineStr">
        <is>
          <t>EJ-001</t>
        </is>
      </c>
      <c r="B2" s="23" t="inlineStr">
        <is>
          <t>2026-05-01</t>
        </is>
      </c>
      <c r="C2" s="23" t="inlineStr">
        <is>
          <t>Carlos Perez</t>
        </is>
      </c>
      <c r="D2" s="23" t="n">
        <v>500</v>
      </c>
      <c r="E2" s="23" t="inlineStr">
        <is>
          <t>in</t>
        </is>
      </c>
      <c r="F2" s="23" t="inlineStr">
        <is>
          <t>cobro_cliente</t>
        </is>
      </c>
      <c r="G2" s="23" t="inlineStr">
        <is>
          <t>ABC123XYZ</t>
        </is>
      </c>
      <c r="H2" s="23" t="inlineStr">
        <is>
          <t>completed</t>
        </is>
      </c>
      <c r="I2" s="23" t="inlineStr">
        <is>
          <t>Pago anticipo</t>
        </is>
      </c>
    </row>
    <row r="3">
      <c r="A3" s="23" t="inlineStr">
        <is>
          <t>EJ-002</t>
        </is>
      </c>
      <c r="B3" s="23" t="inlineStr">
        <is>
          <t>2026-05-02</t>
        </is>
      </c>
      <c r="C3" s="23" t="inlineStr">
        <is>
          <t>Gandola Beleva</t>
        </is>
      </c>
      <c r="D3" s="23" t="n">
        <v>5000</v>
      </c>
      <c r="E3" s="23" t="inlineStr">
        <is>
          <t>out</t>
        </is>
      </c>
      <c r="F3" s="23" t="inlineStr">
        <is>
          <t>entrega_gandola</t>
        </is>
      </c>
      <c r="G3" s="23" t="inlineStr"/>
      <c r="H3" s="23" t="inlineStr">
        <is>
          <t>completed</t>
        </is>
      </c>
      <c r="I3" s="23" t="inlineStr">
        <is>
          <t>Capital viaje Caracas</t>
        </is>
      </c>
    </row>
    <row r="4">
      <c r="A4" s="23" t="inlineStr">
        <is>
          <t>EJ-003</t>
        </is>
      </c>
      <c r="B4" s="23" t="inlineStr">
        <is>
          <t>2026-05-03</t>
        </is>
      </c>
      <c r="C4" s="23" t="inlineStr">
        <is>
          <t>Juan Rodriguez</t>
        </is>
      </c>
      <c r="D4" s="23" t="n">
        <v>800</v>
      </c>
      <c r="E4" s="23" t="inlineStr">
        <is>
          <t>out</t>
        </is>
      </c>
      <c r="F4" s="23" t="inlineStr">
        <is>
          <t>venta_credito</t>
        </is>
      </c>
      <c r="G4" s="23" t="inlineStr"/>
      <c r="H4" s="23" t="inlineStr">
        <is>
          <t>completed</t>
        </is>
      </c>
      <c r="I4" s="23" t="inlineStr">
        <is>
          <t>Mercancia paga el 15</t>
        </is>
      </c>
    </row>
    <row r="6">
      <c r="B6" s="24" t="inlineStr">
        <is>
          <t>Filas de ejemplo. Borralas y empieza a registrar las tuyas.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50" customWidth="1" min="3" max="3"/>
    <col width="50" customWidth="1" min="4" max="4"/>
  </cols>
  <sheetData>
    <row r="2">
      <c r="B2" s="25" t="inlineStr">
        <is>
          <t>GUIA DE CATEGORIAS</t>
        </is>
      </c>
    </row>
    <row r="3">
      <c r="B3" s="26" t="inlineStr">
        <is>
          <t>16 categorias contables para importadoras y PYMEs que reciben Zelle</t>
        </is>
      </c>
    </row>
    <row r="5" ht="24" customHeight="1">
      <c r="B5" s="6" t="inlineStr">
        <is>
          <t>ENTRADAS (in)</t>
        </is>
      </c>
    </row>
    <row r="6" ht="24" customHeight="1">
      <c r="B6" s="27" t="inlineStr">
        <is>
          <t>cobro_cliente</t>
        </is>
      </c>
      <c r="C6" s="28" t="inlineStr">
        <is>
          <t>Cliente paga por Zelle/transferencia</t>
        </is>
      </c>
      <c r="D6" s="29" t="inlineStr">
        <is>
          <t>Mejora Banco. Categoria mas comun.</t>
        </is>
      </c>
    </row>
    <row r="7" ht="24" customHeight="1">
      <c r="B7" s="30" t="inlineStr">
        <is>
          <t>retorno_gandola</t>
        </is>
      </c>
      <c r="C7" s="31" t="inlineStr">
        <is>
          <t>Capital o efectivo que vuelve de una gandola</t>
        </is>
      </c>
      <c r="D7" s="32" t="inlineStr">
        <is>
          <t>Reduce Gandolas, aumenta Banco.</t>
        </is>
      </c>
    </row>
    <row r="8" ht="24" customHeight="1">
      <c r="B8" s="30" t="inlineStr">
        <is>
          <t>cobro_credito</t>
        </is>
      </c>
      <c r="C8" s="31" t="inlineStr">
        <is>
          <t>Cliente paga lo que debia</t>
        </is>
      </c>
      <c r="D8" s="32" t="inlineStr">
        <is>
          <t>Reduce Cuentas por Cobrar, aumenta Banco.</t>
        </is>
      </c>
    </row>
    <row r="9" ht="24" customHeight="1">
      <c r="B9" s="33" t="inlineStr">
        <is>
          <t>cobro_deuda_capital</t>
        </is>
      </c>
      <c r="C9" s="34" t="inlineStr">
        <is>
          <t>Te devuelven capital de un prestamo Por Cobrar</t>
        </is>
      </c>
      <c r="D9" s="35" t="inlineStr">
        <is>
          <t>Reduce Saldo Vivo del prestamo.</t>
        </is>
      </c>
    </row>
    <row r="10" ht="24" customHeight="1">
      <c r="B10" s="33" t="inlineStr">
        <is>
          <t>cobro_deuda_interes</t>
        </is>
      </c>
      <c r="C10" s="34" t="inlineStr">
        <is>
          <t>Te pagan intereses de un prestamo Por Cobrar</t>
        </is>
      </c>
      <c r="D10" s="35" t="inlineStr">
        <is>
          <t>Solo registro, no toca capital.</t>
        </is>
      </c>
    </row>
    <row r="11" ht="24" customHeight="1">
      <c r="B11" s="6" t="inlineStr">
        <is>
          <t>SALIDAS (out)</t>
        </is>
      </c>
    </row>
    <row r="12" ht="24" customHeight="1">
      <c r="B12" s="36" t="inlineStr">
        <is>
          <t>gasto_logistica</t>
        </is>
      </c>
      <c r="C12" s="37" t="inlineStr">
        <is>
          <t>Transporte, fletes, distribucion</t>
        </is>
      </c>
      <c r="D12" s="38" t="inlineStr">
        <is>
          <t>Reduce Banco.</t>
        </is>
      </c>
    </row>
    <row r="13" ht="24" customHeight="1">
      <c r="B13" s="36" t="inlineStr">
        <is>
          <t>planilla</t>
        </is>
      </c>
      <c r="C13" s="37" t="inlineStr">
        <is>
          <t>Pagos de salarios fijos</t>
        </is>
      </c>
      <c r="D13" s="38" t="inlineStr">
        <is>
          <t>Reduce Banco. Mensual recurrente.</t>
        </is>
      </c>
    </row>
    <row r="14" ht="24" customHeight="1">
      <c r="B14" s="36" t="inlineStr">
        <is>
          <t>impuesto_gandola</t>
        </is>
      </c>
      <c r="C14" s="37" t="inlineStr">
        <is>
          <t>Aduana, peajes, permisos</t>
        </is>
      </c>
      <c r="D14" s="38" t="inlineStr">
        <is>
          <t>Reduce Banco.</t>
        </is>
      </c>
    </row>
    <row r="15" ht="24" customHeight="1">
      <c r="B15" s="36" t="inlineStr">
        <is>
          <t>viaticos</t>
        </is>
      </c>
      <c r="C15" s="37" t="inlineStr">
        <is>
          <t>Gastos de viaje, alimentacion en ruta</t>
        </is>
      </c>
      <c r="D15" s="38" t="inlineStr">
        <is>
          <t>Reduce Banco.</t>
        </is>
      </c>
    </row>
    <row r="16" ht="24" customHeight="1">
      <c r="B16" s="39" t="inlineStr">
        <is>
          <t>intereses_prestamo</t>
        </is>
      </c>
      <c r="C16" s="40" t="inlineStr">
        <is>
          <t>Intereses mensuales de un prestamo</t>
        </is>
      </c>
      <c r="D16" s="41" t="inlineStr">
        <is>
          <t>Reduce Banco. Mensual fijo.</t>
        </is>
      </c>
    </row>
    <row r="17" ht="24" customHeight="1">
      <c r="B17" s="39" t="inlineStr">
        <is>
          <t>pago_deuda_capital</t>
        </is>
      </c>
      <c r="C17" s="40" t="inlineStr">
        <is>
          <t>Abono al capital de un prestamo Por Pagar</t>
        </is>
      </c>
      <c r="D17" s="41" t="inlineStr">
        <is>
          <t>Reduce Banco y reduce Saldo Vivo.</t>
        </is>
      </c>
    </row>
    <row r="18" ht="24" customHeight="1">
      <c r="B18" s="39" t="inlineStr">
        <is>
          <t>pago_deuda_interes</t>
        </is>
      </c>
      <c r="C18" s="40" t="inlineStr">
        <is>
          <t>Pago intereses mensual a un prestamista</t>
        </is>
      </c>
      <c r="D18" s="41" t="inlineStr">
        <is>
          <t>Reduce Banco, no toca capital.</t>
        </is>
      </c>
    </row>
    <row r="19" ht="24" customHeight="1">
      <c r="B19" s="42" t="inlineStr">
        <is>
          <t>entrega_gandola</t>
        </is>
      </c>
      <c r="C19" s="43" t="inlineStr">
        <is>
          <t>Capital entregado a una gandola activa</t>
        </is>
      </c>
      <c r="D19" s="44" t="inlineStr">
        <is>
          <t>Reduce Banco, aumenta Gandolas.</t>
        </is>
      </c>
    </row>
    <row r="20" ht="24" customHeight="1">
      <c r="B20" s="42" t="inlineStr">
        <is>
          <t>venta_credito</t>
        </is>
      </c>
      <c r="C20" s="43" t="inlineStr">
        <is>
          <t>Mercancia entregada sin cobrar todavia</t>
        </is>
      </c>
      <c r="D20" s="44" t="inlineStr">
        <is>
          <t>No toca Banco. Aumenta Cuentas por Cobrar.</t>
        </is>
      </c>
    </row>
    <row r="21" ht="24" customHeight="1">
      <c r="B21" s="36" t="inlineStr">
        <is>
          <t>fee_transaccion</t>
        </is>
      </c>
      <c r="C21" s="37" t="inlineStr">
        <is>
          <t>Comisiones bancarias o de plataforma</t>
        </is>
      </c>
      <c r="D21" s="38" t="inlineStr">
        <is>
          <t>Reduce Banco.</t>
        </is>
      </c>
    </row>
    <row r="22" ht="24" customHeight="1">
      <c r="B22" s="45" t="inlineStr">
        <is>
          <t>sin_clasificar</t>
        </is>
      </c>
      <c r="C22" s="46" t="inlineStr">
        <is>
          <t>Cuando no encaja en ninguna otra</t>
        </is>
      </c>
      <c r="D22" s="47" t="inlineStr">
        <is>
          <t>Catch-all temporal, reclasificar luego.</t>
        </is>
      </c>
    </row>
  </sheetData>
  <mergeCells count="2">
    <mergeCell ref="B11:E11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22" customWidth="1" min="3" max="3"/>
  </cols>
  <sheetData>
    <row r="2">
      <c r="B2" s="48" t="inlineStr">
        <is>
          <t>KPIs DEL PERIODO</t>
        </is>
      </c>
    </row>
    <row r="5">
      <c r="B5" s="5" t="inlineStr">
        <is>
          <t>Total Ingresos</t>
        </is>
      </c>
      <c r="C5" s="49">
        <f>SUMIFS(Transacciones!D:D,Transacciones!E:E,"in")</f>
        <v/>
      </c>
    </row>
    <row r="6">
      <c r="B6" s="5" t="inlineStr">
        <is>
          <t>Total Gastos</t>
        </is>
      </c>
      <c r="C6" s="49">
        <f>SUMIFS(Transacciones!D:D,Transacciones!E:E,"out")</f>
        <v/>
      </c>
    </row>
    <row r="7">
      <c r="B7" s="5" t="inlineStr">
        <is>
          <t>Flujo Neto</t>
        </is>
      </c>
      <c r="C7" s="49">
        <f>C5-C6</f>
        <v/>
      </c>
    </row>
    <row r="8">
      <c r="B8" s="5" t="inlineStr">
        <is>
          <t># Transferencias recibidas</t>
        </is>
      </c>
      <c r="C8" s="50">
        <f>COUNTIFS(Transacciones!E:E,"in")</f>
        <v/>
      </c>
    </row>
    <row r="9">
      <c r="B9" s="5" t="inlineStr">
        <is>
          <t># Transferencias enviadas</t>
        </is>
      </c>
      <c r="C9" s="50">
        <f>COUNTIFS(Transacciones!E:E,"out")</f>
        <v/>
      </c>
    </row>
    <row r="10">
      <c r="B10" s="5" t="inlineStr">
        <is>
          <t>Ticket promedio recibido</t>
        </is>
      </c>
      <c r="C10" s="49">
        <f>IFERROR(C5/C8,0)</f>
        <v/>
      </c>
    </row>
    <row r="11">
      <c r="B11" s="5" t="inlineStr">
        <is>
          <t>Capital en gandolas</t>
        </is>
      </c>
      <c r="C11" s="49">
        <f>Portada!D18</f>
        <v/>
      </c>
    </row>
    <row r="12">
      <c r="B12" s="5" t="inlineStr">
        <is>
          <t>Cuentas por cobrar</t>
        </is>
      </c>
      <c r="C12" s="49">
        <f>Portada!F18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2026-05-04T13:20:34Z</dcterms:created>
  <dcterms:modified xmlns:dcterms="http://purl.org/dc/terms/" xmlns:xsi="http://www.w3.org/2001/XMLSchema-instance" xsi:type="dcterms:W3CDTF">2026-05-04T13:20:34Z</dcterms:modified>
</cp:coreProperties>
</file>